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mp;L Statement" sheetId="1" state="visible" r:id="rId3"/>
    <sheet name="Expense Detail" sheetId="2" state="visible" r:id="rId4"/>
    <sheet name="Revenue Detail" sheetId="3" state="visible" r:id="rId5"/>
    <sheet name="Ratios &amp; Not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<sst xmlns="http://schemas.openxmlformats.org/spreadsheetml/2006/main" count="197" uniqueCount="181">
  <si>
    <t xml:space="preserve">HEATRONICS MEDICAL DEVICES PRIVATE LIMITED</t>
  </si>
  <si>
    <t xml:space="preserve">Profit &amp; Loss Account  |  1-Jul-2026 to 31-Jul-2026  |  Amounts in INR</t>
  </si>
  <si>
    <t xml:space="preserve">Source: Tally Prime — P&amp;L A/c screen and Group Summary drill-downs (13 screenshots supplied by user, 31-Aug-2026)</t>
  </si>
  <si>
    <t xml:space="preserve">Particulars</t>
  </si>
  <si>
    <t xml:space="preserve">Amount (INR)</t>
  </si>
  <si>
    <t xml:space="preserve">% of Gross Sales</t>
  </si>
  <si>
    <t xml:space="preserve">% of Net External Sales</t>
  </si>
  <si>
    <t xml:space="preserve">Notes</t>
  </si>
  <si>
    <t xml:space="preserve">INCOME</t>
  </si>
  <si>
    <t xml:space="preserve">      D2C Sales</t>
  </si>
  <si>
    <t xml:space="preserve">      Ecommerce Sales</t>
  </si>
  <si>
    <t xml:space="preserve">      OEM Sales</t>
  </si>
  <si>
    <t xml:space="preserve">      Offline Sales</t>
  </si>
  <si>
    <t xml:space="preserve">      Quick Commerce Sales</t>
  </si>
  <si>
    <t xml:space="preserve">Net DEBIT — returns/credit notes exceeded sales this month</t>
  </si>
  <si>
    <t xml:space="preserve">      Stock Transfers (internal)</t>
  </si>
  <si>
    <t xml:space="preserve">Contra — nets off against Purchase Accounts &gt; Stock Transfer</t>
  </si>
  <si>
    <t xml:space="preserve">      Gross Sales (Tally 'Sales Accounts')</t>
  </si>
  <si>
    <t xml:space="preserve">      Less: Internal Stock Transfers</t>
  </si>
  <si>
    <t xml:space="preserve">Stripped out to show true third-party revenue</t>
  </si>
  <si>
    <t xml:space="preserve">NET EXTERNAL SALES</t>
  </si>
  <si>
    <t xml:space="preserve">COST OF GOODS SOLD</t>
  </si>
  <si>
    <t xml:space="preserve">      Opening Stock</t>
  </si>
  <si>
    <t xml:space="preserve">      Purchase Accounts</t>
  </si>
  <si>
    <t xml:space="preserve">Raw Material 12,86,280.79 + Stock Transfer 3,81,446.84</t>
  </si>
  <si>
    <t xml:space="preserve">      Direct Expenses</t>
  </si>
  <si>
    <t xml:space="preserve">Factory Overheads + Inward Freight + Manufacturing Costs</t>
  </si>
  <si>
    <t xml:space="preserve">      Less: Closing Stock</t>
  </si>
  <si>
    <t xml:space="preserve">Closing = Opening in Tally — see Ratios &amp; Notes, flag #1</t>
  </si>
  <si>
    <t xml:space="preserve">TOTAL COGS</t>
  </si>
  <si>
    <t xml:space="preserve">GROSS PROFIT</t>
  </si>
  <si>
    <t xml:space="preserve">INDIRECT EXPENSES</t>
  </si>
  <si>
    <t xml:space="preserve">      Sales &amp; Marketing</t>
  </si>
  <si>
    <t xml:space="preserve">      Channel Fees &amp; Commissions</t>
  </si>
  <si>
    <t xml:space="preserve">      Employee Cost - Indirect (net)</t>
  </si>
  <si>
    <t xml:space="preserve">      Professional Fees</t>
  </si>
  <si>
    <t xml:space="preserve">      Admin &amp; General Expenses</t>
  </si>
  <si>
    <t xml:space="preserve">      After-Sales &amp; Warranty</t>
  </si>
  <si>
    <t xml:space="preserve">      Staff Welfare</t>
  </si>
  <si>
    <t xml:space="preserve">      Shipping Charges</t>
  </si>
  <si>
    <t xml:space="preserve">      Freight Outward Exp. - Porter/Transport</t>
  </si>
  <si>
    <t xml:space="preserve">      Bank Charges</t>
  </si>
  <si>
    <t xml:space="preserve">      Financial Adjustments (net)</t>
  </si>
  <si>
    <t xml:space="preserve">TOTAL INDIRECT EXPENSES</t>
  </si>
  <si>
    <t xml:space="preserve">Add: Indirect Incomes</t>
  </si>
  <si>
    <t xml:space="preserve">NETT PROFIT</t>
  </si>
  <si>
    <t xml:space="preserve">CHECK — Nett Profit shown on Tally P&amp;L screen</t>
  </si>
  <si>
    <t xml:space="preserve">Variance (must be 0.00)</t>
  </si>
  <si>
    <t xml:space="preserve">EXPENSE BREAKDOWN — ALL LEVELS</t>
  </si>
  <si>
    <t xml:space="preserve">Heatronics Medical Devices Pvt Ltd  |  Jul-2026  |  Blue = ledger value read from Tally · Black = calculated subtotal</t>
  </si>
  <si>
    <t xml:space="preserve">% of Parent Group</t>
  </si>
  <si>
    <t xml:space="preserve">Tally Group</t>
  </si>
  <si>
    <t xml:space="preserve">PURCHASE ACCOUNTS</t>
  </si>
  <si>
    <t xml:space="preserve">Purchase Accounts</t>
  </si>
  <si>
    <t xml:space="preserve">      Raw Material Purchases</t>
  </si>
  <si>
    <t xml:space="preserve">      Stock Transfer (inward)</t>
  </si>
  <si>
    <t xml:space="preserve">DIRECT EXPENSES</t>
  </si>
  <si>
    <t xml:space="preserve">Direct Expenses</t>
  </si>
  <si>
    <t xml:space="preserve">      Factory Overheads</t>
  </si>
  <si>
    <t xml:space="preserve">      Inward Freight</t>
  </si>
  <si>
    <t xml:space="preserve">      Manufacturing Costs</t>
  </si>
  <si>
    <t xml:space="preserve">            Additional Charges - Purchase</t>
  </si>
  <si>
    <t xml:space="preserve">            Job Work Charges</t>
  </si>
  <si>
    <t xml:space="preserve">            Manufacturing Wages</t>
  </si>
  <si>
    <t xml:space="preserve">Indirect Expenses</t>
  </si>
  <si>
    <t xml:space="preserve">            Amazon Channel Fees</t>
  </si>
  <si>
    <t xml:space="preserve">                  FBA Storage Fee - Amazon</t>
  </si>
  <si>
    <t xml:space="preserve">                  FBA Weight Handling Fee - Amazon</t>
  </si>
  <si>
    <t xml:space="preserve">                  Fixed Closing Fee - Amazon</t>
  </si>
  <si>
    <t xml:space="preserve">                  Inbound Transportation Fee - Amazon</t>
  </si>
  <si>
    <t xml:space="preserve">                  Listing Fees - Amazon</t>
  </si>
  <si>
    <t xml:space="preserve">                  Order Cancellation Fee</t>
  </si>
  <si>
    <t xml:space="preserve">                  Pick and Pack Fees - Amazon</t>
  </si>
  <si>
    <t xml:space="preserve">                  Refund Processing Fee - Amazon</t>
  </si>
  <si>
    <t xml:space="preserve">                  Removal Fee - Amazon</t>
  </si>
  <si>
    <t xml:space="preserve">                  Shipping Charge Back Fee - Amazon</t>
  </si>
  <si>
    <t xml:space="preserve">            Blinkit Channel Fees</t>
  </si>
  <si>
    <t xml:space="preserve">            D2C Fees</t>
  </si>
  <si>
    <t xml:space="preserve">                  D2C Checkout</t>
  </si>
  <si>
    <t xml:space="preserve">                  D2C Communication Fees</t>
  </si>
  <si>
    <t xml:space="preserve">                  D2C Logistics</t>
  </si>
  <si>
    <t xml:space="preserve">                        Brand Boost - Shiprocket</t>
  </si>
  <si>
    <t xml:space="preserve">                        Delivery Boost - Shiprocket</t>
  </si>
  <si>
    <t xml:space="preserve">                        Shiprocket Generic Fee</t>
  </si>
  <si>
    <t xml:space="preserve">                  D2C Payment Gateway</t>
  </si>
  <si>
    <t xml:space="preserve">            Freight Charges (Shiprocket)</t>
  </si>
  <si>
    <t xml:space="preserve">            Employee cost - debit total</t>
  </si>
  <si>
    <t xml:space="preserve">            Employee cost - credit total</t>
  </si>
  <si>
    <t xml:space="preserve">            Financial adjustments - debit</t>
  </si>
  <si>
    <t xml:space="preserve">            Financial adjustments - credit</t>
  </si>
  <si>
    <t xml:space="preserve">            D2C Marketing</t>
  </si>
  <si>
    <t xml:space="preserve">                  Google Ads (Direct)</t>
  </si>
  <si>
    <t xml:space="preserve">                  Media Buying Agency - Google/FB</t>
  </si>
  <si>
    <t xml:space="preserve">                  Meta Ads (Direct)</t>
  </si>
  <si>
    <t xml:space="preserve">            Ecommerce Marketing</t>
  </si>
  <si>
    <t xml:space="preserve">TOTAL EXPENSES (Purchases + Direct + Indirect)</t>
  </si>
  <si>
    <t xml:space="preserve">REVENUE BY CHANNEL — WITH DIRECT CHANNEL COSTS</t>
  </si>
  <si>
    <t xml:space="preserve">Jul-2026  |  Tally Group Summary &gt; Sales Accounts</t>
  </si>
  <si>
    <t xml:space="preserve">Channel</t>
  </si>
  <si>
    <t xml:space="preserve">Revenue (INR)</t>
  </si>
  <si>
    <t xml:space="preserve">Marketing + Channel Fees (INR)</t>
  </si>
  <si>
    <t xml:space="preserve">Cost as % of channel revenue</t>
  </si>
  <si>
    <t xml:space="preserve">Contribution after direct channel cost</t>
  </si>
  <si>
    <t xml:space="preserve">What is included</t>
  </si>
  <si>
    <t xml:space="preserve">OEM Sales</t>
  </si>
  <si>
    <t xml:space="preserve">No channel-specific marketing or platform fee tagged in Tally</t>
  </si>
  <si>
    <t xml:space="preserve">D2C Sales</t>
  </si>
  <si>
    <t xml:space="preserve">D2C Marketing 10,08,859.70 + D2C Fees 44,101.78 (checkout, comms, logistics, payment gateway)</t>
  </si>
  <si>
    <t xml:space="preserve">Ecommerce Sales</t>
  </si>
  <si>
    <t xml:space="preserve">Ecommerce Marketing 6,13,290.13 + Amazon Channel Fees 2,69,731.13</t>
  </si>
  <si>
    <t xml:space="preserve">Offline Sales</t>
  </si>
  <si>
    <t xml:space="preserve">No channel-specific cost tagged</t>
  </si>
  <si>
    <t xml:space="preserve">Quick Commerce Sales</t>
  </si>
  <si>
    <t xml:space="preserve">Blinkit Channel Fees 8,223.93 — incurred despite net negative sales</t>
  </si>
  <si>
    <t xml:space="preserve">Stock Transfers (internal)</t>
  </si>
  <si>
    <t xml:space="preserve">Contra entry — not third-party revenue</t>
  </si>
  <si>
    <t xml:space="preserve">GROSS SALES</t>
  </si>
  <si>
    <t xml:space="preserve">NET EXTERNAL SALES (excl. internal stock transfers)</t>
  </si>
  <si>
    <t xml:space="preserve">KEY RATIOS — JUL 2026</t>
  </si>
  <si>
    <t xml:space="preserve">Metric</t>
  </si>
  <si>
    <t xml:space="preserve">Value</t>
  </si>
  <si>
    <t xml:space="preserve">Basis / comment</t>
  </si>
  <si>
    <t xml:space="preserve">Gross Sales</t>
  </si>
  <si>
    <t xml:space="preserve">Tally 'Sales Accounts' total</t>
  </si>
  <si>
    <t xml:space="preserve">Net External Sales</t>
  </si>
  <si>
    <t xml:space="preserve">Gross sales less internal stock transfers of 3,79,756.14</t>
  </si>
  <si>
    <t xml:space="preserve">Gross Profit</t>
  </si>
  <si>
    <t xml:space="preserve">Per Tally P&amp;L — but see flag #1</t>
  </si>
  <si>
    <t xml:space="preserve">Gross Margin % (on gross sales)</t>
  </si>
  <si>
    <t xml:space="preserve">Gross Margin % (on net external sales)</t>
  </si>
  <si>
    <t xml:space="preserve">Total Indirect Expenses</t>
  </si>
  <si>
    <t xml:space="preserve">Indirect Expenses as % of net external sales</t>
  </si>
  <si>
    <t xml:space="preserve">Operating overhead load</t>
  </si>
  <si>
    <t xml:space="preserve">Nett Profit</t>
  </si>
  <si>
    <t xml:space="preserve">Net Margin % (on net external sales)</t>
  </si>
  <si>
    <t xml:space="preserve">Total Marketing Spend</t>
  </si>
  <si>
    <t xml:space="preserve">Sales &amp; Marketing group</t>
  </si>
  <si>
    <t xml:space="preserve">Marketing as % of net external sales</t>
  </si>
  <si>
    <t xml:space="preserve">Single largest cost line in the business this month</t>
  </si>
  <si>
    <t xml:space="preserve">D2C Marketing spend</t>
  </si>
  <si>
    <t xml:space="preserve">Google 1,32,224.20 + Agency 1,80,000.00 + Meta 6,96,635.50</t>
  </si>
  <si>
    <t xml:space="preserve">D2C Marketing as % of D2C sales</t>
  </si>
  <si>
    <t xml:space="preserve">Ad cost per rupee of D2C revenue</t>
  </si>
  <si>
    <t xml:space="preserve">D2C blended MER (revenue per Re of ad spend)</t>
  </si>
  <si>
    <t xml:space="preserve">Below ~2.5x usually means D2C is losing money after COGS</t>
  </si>
  <si>
    <t xml:space="preserve">Ecommerce Marketing spend</t>
  </si>
  <si>
    <t xml:space="preserve">Ecommerce Marketing as % of Ecommerce sales</t>
  </si>
  <si>
    <t xml:space="preserve">Ecommerce blended MER</t>
  </si>
  <si>
    <t xml:space="preserve">Total Channel Fees &amp; Commissions</t>
  </si>
  <si>
    <t xml:space="preserve">Channel fees as % of net external sales</t>
  </si>
  <si>
    <t xml:space="preserve">Amazon fees as % of Ecommerce sales</t>
  </si>
  <si>
    <t xml:space="preserve">Platform take rate on Amazon</t>
  </si>
  <si>
    <t xml:space="preserve">Total Shiprocket cost</t>
  </si>
  <si>
    <t xml:space="preserve">Freight 1,52,561.03 + Brand Boost + Delivery Boost + generic fee</t>
  </si>
  <si>
    <t xml:space="preserve">Shiprocket cost as % of D2C sales</t>
  </si>
  <si>
    <t xml:space="preserve">Assumes Shiprocket freight is D2C-driven</t>
  </si>
  <si>
    <t xml:space="preserve">OEM sales as % of net external sales</t>
  </si>
  <si>
    <t xml:space="preserve">Largest single revenue line, with no tagged channel cost</t>
  </si>
  <si>
    <t xml:space="preserve">D2C + Ecommerce as % of net external sales</t>
  </si>
  <si>
    <t xml:space="preserve">Total variable channel cost (marketing + channel fees)</t>
  </si>
  <si>
    <t xml:space="preserve">… as % of D2C + Ecommerce sales</t>
  </si>
  <si>
    <t xml:space="preserve">The number that decides whether online is profitable</t>
  </si>
  <si>
    <t xml:space="preserve">NOTES, ASSUMPTIONS &amp; FLAGS</t>
  </si>
  <si>
    <t xml:space="preserve">FLAG 1 — Opening Stock equals Closing Stock (1,44,57,824.00)</t>
  </si>
  <si>
    <t xml:space="preserve">Tally shows identical opening and closing inventory, so stock movement contributes exactly ZERO to cost of goods sold this month. Either July stock was never re-valued in Tally, or closing stock was entered manually equal to opening. Until that is fixed, the 24,94,580.85 'Gross Profit' is really just Sales less Purchases less Direct Expenses — not a true gross margin. Every margin percentage in this workbook inherits that caveat.</t>
  </si>
  <si>
    <t xml:space="preserve">FLAG 2 — Employee Cost - Indirect carries both a debit and a credit</t>
  </si>
  <si>
    <t xml:space="preserve">Debit 4,19,204.00 and credit 4,45,091.00, netting to a CREDIT of 25,887.00 — i.e. negative employee cost for July. This is the only reading under which the group figures foot to the 21,60,606.23 indirect-expense total on the P&amp;L screen. Almost certainly a reversal, a provision write-back, or a wrongly-signed entry. Worth checking before this month is filed.</t>
  </si>
  <si>
    <t xml:space="preserve">FLAG 3 — Financial Adjustments nets to a credit of 4.21</t>
  </si>
  <si>
    <t xml:space="preserve">Debit 0.03, credit 4.24. Rounding-level, no action needed.</t>
  </si>
  <si>
    <t xml:space="preserve">FLAG 4 — Stock Transfers appear on both sides of the P&amp;L</t>
  </si>
  <si>
    <t xml:space="preserve">Sales Accounts &gt; Stock Transfers 3,79,756.14 (credit) and Purchase Accounts &gt; Stock Transfer 3,81,446.84 (debit). These are internal movements, not third-party trade. Net P&amp;L impact of the pair is a 1,690.70 debit. 'Net External Sales' in this workbook strips the sales-side transfer out so channel ratios are not flattered.</t>
  </si>
  <si>
    <t xml:space="preserve">FLAG 5 — Quick Commerce Sales is a net DEBIT of 2,666.66</t>
  </si>
  <si>
    <t xml:space="preserve">Returns and credit notes exceeded gross sales on quick commerce in July, while Blinkit channel fees of 8,223.93 were still incurred. Small in absolute terms but the channel lost money outright.</t>
  </si>
  <si>
    <t xml:space="preserve">FLAG 6 — Freight Charges (Shiprocket) is grouped under Channel Fees, not D2C Logistics</t>
  </si>
  <si>
    <t xml:space="preserve">One Tally view lists it alongside the other Shiprocket ledgers (Shiprocket total 1,60,937.68); the Channel Fees group summary shows it as a direct child of Channel Fees &amp; Commissions. It is placed under Channel Fees here to match the group summary. Consider re-grouping in Tally so all Shiprocket cost sits in one place.</t>
  </si>
  <si>
    <t xml:space="preserve">ASSUMPTION — Channel cost attribution on the Revenue Detail sheet</t>
  </si>
  <si>
    <t xml:space="preserve">D2C Marketing and D2C Fees are attributed to D2C Sales; Ecommerce Marketing and Amazon Channel Fees to Ecommerce Sales; Blinkit fees to Quick Commerce. Shiprocket freight is NOT attributed to a single channel on that sheet because Tally does not tag it by channel. OEM and Offline carry no tagged channel cost.</t>
  </si>
  <si>
    <t xml:space="preserve">SCOPE — This is the management P&amp;L as it stands in Tally</t>
  </si>
  <si>
    <t xml:space="preserve">Figures are Tally closing balances for 1-Jul-26 to 31-Jul-26. No adjustment has been layered on for GST, TDS, depreciation, interest or tax. Not a statutory statement.</t>
  </si>
  <si>
    <t xml:space="preserve">HOW THIS WORKBOOK WORKS</t>
  </si>
  <si>
    <t xml:space="preserve">Blue figures are read directly from the Tally screenshots and are the only inputs. Black figures are live formulas. Change any blue cell and the whole workbook re-foots, including the reconciliation check at the bottom of the P&amp;L Statement sheet, which must stay at 0.00.</t>
  </si>
</sst>
</file>

<file path=xl/styles.xml><?xml version="1.0" encoding="utf-8"?>
<styleSheet xmlns="http://schemas.openxmlformats.org/spreadsheetml/2006/main">
  <numFmts count="4">
    <numFmt numFmtId="164" formatCode="General"/>
    <numFmt numFmtId="165" formatCode="[&gt;=10000000]##\,##\,##\,##0.00;[&gt;=100000]##\,##\,##0.00;#,##0.00"/>
    <numFmt numFmtId="166" formatCode="0.0%;\(0.0%\);\-"/>
    <numFmt numFmtId="167" formatCode="0.00\x"/>
  </numFmts>
  <fonts count="12">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9"/>
      <color rgb="FF595959"/>
      <name val="Arial"/>
      <family val="0"/>
      <charset val="1"/>
    </font>
    <font>
      <sz val="9"/>
      <color rgb="FF595959"/>
      <name val="Arial"/>
      <family val="0"/>
      <charset val="1"/>
    </font>
    <font>
      <b val="true"/>
      <sz val="10"/>
      <color rgb="FFFFFFFF"/>
      <name val="Arial"/>
      <family val="0"/>
      <charset val="1"/>
    </font>
    <font>
      <b val="true"/>
      <sz val="10"/>
      <name val="Arial"/>
      <family val="0"/>
      <charset val="1"/>
    </font>
    <font>
      <sz val="10"/>
      <name val="Arial"/>
      <family val="0"/>
      <charset val="1"/>
    </font>
    <font>
      <sz val="10"/>
      <color rgb="FF0000FF"/>
      <name val="Arial"/>
      <family val="0"/>
      <charset val="1"/>
    </font>
    <font>
      <sz val="10"/>
      <color rgb="FF00800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FFF2CC"/>
        <bgColor rgb="FFF2F2F2"/>
      </patternFill>
    </fill>
  </fills>
  <borders count="3">
    <border diagonalUp="false" diagonalDown="false">
      <left/>
      <right/>
      <top/>
      <bottom/>
      <diagonal/>
    </border>
    <border diagonalUp="false" diagonalDown="false">
      <left/>
      <right/>
      <top/>
      <bottom style="thin">
        <color rgb="FFBFBFBF"/>
      </bottom>
      <diagonal/>
    </border>
    <border diagonalUp="false" diagonalDown="false">
      <left/>
      <right/>
      <top style="thin">
        <color rgb="FFBFBFBF"/>
      </top>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center"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5" fontId="0" fillId="3" borderId="0" xfId="0" applyFont="fals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general" vertical="bottom" textRotation="0" wrapText="false" indent="0" shrinkToFit="false"/>
      <protection locked="true" hidden="false"/>
    </xf>
    <xf numFmtId="165" fontId="8" fillId="4" borderId="0" xfId="0" applyFont="true" applyBorder="false" applyAlignment="true" applyProtection="false">
      <alignment horizontal="general" vertical="bottom" textRotation="0" wrapText="false" indent="0" shrinkToFit="false"/>
      <protection locked="true" hidden="false"/>
    </xf>
    <xf numFmtId="166" fontId="9"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general" vertical="bottom" textRotation="0" wrapText="false" indent="0" shrinkToFit="false"/>
      <protection locked="true" hidden="false"/>
    </xf>
    <xf numFmtId="164" fontId="8" fillId="4" borderId="2" xfId="0" applyFont="true" applyBorder="true" applyAlignment="true" applyProtection="false">
      <alignment horizontal="general" vertical="bottom" textRotation="0" wrapText="false" indent="0" shrinkToFit="false"/>
      <protection locked="true" hidden="false"/>
    </xf>
    <xf numFmtId="165" fontId="8" fillId="4" borderId="2" xfId="0" applyFont="true" applyBorder="true" applyAlignment="true" applyProtection="false">
      <alignment horizontal="general" vertical="bottom" textRotation="0" wrapText="false" indent="0" shrinkToFit="false"/>
      <protection locked="true" hidden="false"/>
    </xf>
    <xf numFmtId="166" fontId="9" fillId="4" borderId="2" xfId="0" applyFont="true" applyBorder="true" applyAlignment="true" applyProtection="false">
      <alignment horizontal="general" vertical="bottom" textRotation="0" wrapText="false" indent="0" shrinkToFit="false"/>
      <protection locked="true" hidden="false"/>
    </xf>
    <xf numFmtId="164" fontId="0" fillId="4" borderId="2" xfId="0" applyFont="fals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5" fontId="8" fillId="3" borderId="0" xfId="0" applyFont="true" applyBorder="false" applyAlignment="true" applyProtection="false">
      <alignment horizontal="general" vertical="bottom" textRotation="0" wrapText="false" indent="0" shrinkToFit="false"/>
      <protection locked="true" hidden="false"/>
    </xf>
    <xf numFmtId="166" fontId="9" fillId="3"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general" vertical="bottom" textRotation="0" wrapText="false" indent="0" shrinkToFit="false"/>
      <protection locked="true" hidden="false"/>
    </xf>
    <xf numFmtId="165" fontId="8" fillId="0" borderId="2" xfId="0" applyFont="true" applyBorder="true" applyAlignment="tru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7"/>
    <col collapsed="false" customWidth="true" hidden="false" outlineLevel="0" max="3" min="3" style="1" width="13"/>
    <col collapsed="false" customWidth="true" hidden="false" outlineLevel="0" max="4" min="4" style="1" width="15"/>
    <col collapsed="false" customWidth="true" hidden="false" outlineLevel="0" max="5" min="5" style="1" width="62"/>
  </cols>
  <sheetData>
    <row r="1" customFormat="false" ht="15.7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t="s">
        <v>2</v>
      </c>
    </row>
    <row r="5" customFormat="false" ht="27.75" hidden="false" customHeight="true" outlineLevel="0" collapsed="false">
      <c r="A5" s="5" t="s">
        <v>3</v>
      </c>
      <c r="B5" s="6" t="s">
        <v>4</v>
      </c>
      <c r="C5" s="6" t="s">
        <v>5</v>
      </c>
      <c r="D5" s="6" t="s">
        <v>6</v>
      </c>
      <c r="E5" s="6" t="s">
        <v>7</v>
      </c>
    </row>
    <row r="6" customFormat="false" ht="15" hidden="false" customHeight="true" outlineLevel="0" collapsed="false">
      <c r="A6" s="7" t="s">
        <v>8</v>
      </c>
      <c r="B6" s="8"/>
      <c r="C6" s="9"/>
      <c r="D6" s="9"/>
      <c r="E6" s="9"/>
    </row>
    <row r="7" customFormat="false" ht="15" hidden="false" customHeight="true" outlineLevel="0" collapsed="false">
      <c r="A7" s="10" t="s">
        <v>9</v>
      </c>
      <c r="B7" s="11" t="n">
        <v>1316297.46</v>
      </c>
      <c r="C7" s="12" t="n">
        <f aca="false">IF($B$13=0,0,B7/$B$13)</f>
        <v>0.250399022731609</v>
      </c>
      <c r="D7" s="12" t="n">
        <f aca="false">IF($B$15=0,0,B7/$B$15)</f>
        <v>0.269896607460352</v>
      </c>
    </row>
    <row r="8" customFormat="false" ht="15" hidden="false" customHeight="true" outlineLevel="0" collapsed="false">
      <c r="A8" s="10" t="s">
        <v>10</v>
      </c>
      <c r="B8" s="11" t="n">
        <v>1196831.31</v>
      </c>
      <c r="C8" s="12" t="n">
        <f aca="false">IF($B$13=0,0,B8/$B$13)</f>
        <v>0.227672999079244</v>
      </c>
      <c r="D8" s="12" t="n">
        <f aca="false">IF($B$15=0,0,B8/$B$15)</f>
        <v>0.245400997941095</v>
      </c>
    </row>
    <row r="9" customFormat="false" ht="15" hidden="false" customHeight="true" outlineLevel="0" collapsed="false">
      <c r="A9" s="10" t="s">
        <v>11</v>
      </c>
      <c r="B9" s="11" t="n">
        <v>1895500</v>
      </c>
      <c r="C9" s="12" t="n">
        <f aca="false">IF($B$13=0,0,B9/$B$13)</f>
        <v>0.360580614952918</v>
      </c>
      <c r="D9" s="12" t="n">
        <f aca="false">IF($B$15=0,0,B9/$B$15)</f>
        <v>0.388657605888791</v>
      </c>
    </row>
    <row r="10" customFormat="false" ht="15" hidden="false" customHeight="true" outlineLevel="0" collapsed="false">
      <c r="A10" s="10" t="s">
        <v>12</v>
      </c>
      <c r="B10" s="11" t="n">
        <v>471081.26</v>
      </c>
      <c r="C10" s="12" t="n">
        <f aca="false">IF($B$13=0,0,B10/$B$13)</f>
        <v>0.0896137010939571</v>
      </c>
      <c r="D10" s="12" t="n">
        <f aca="false">IF($B$15=0,0,B10/$B$15)</f>
        <v>0.0965915667057109</v>
      </c>
    </row>
    <row r="11" customFormat="false" ht="15" hidden="false" customHeight="true" outlineLevel="0" collapsed="false">
      <c r="A11" s="10" t="s">
        <v>13</v>
      </c>
      <c r="B11" s="11" t="n">
        <v>-2666.66</v>
      </c>
      <c r="C11" s="12" t="n">
        <f aca="false">IF($B$13=0,0,B11/$B$13)</f>
        <v>-0.000507278239340728</v>
      </c>
      <c r="D11" s="12" t="n">
        <f aca="false">IF($B$15=0,0,B11/$B$15)</f>
        <v>-0.000546777995947984</v>
      </c>
      <c r="E11" s="13" t="s">
        <v>14</v>
      </c>
    </row>
    <row r="12" customFormat="false" ht="15" hidden="false" customHeight="true" outlineLevel="0" collapsed="false">
      <c r="A12" s="10" t="s">
        <v>15</v>
      </c>
      <c r="B12" s="11" t="n">
        <v>379756.14</v>
      </c>
      <c r="C12" s="12" t="n">
        <f aca="false">IF($B$13=0,0,B12/$B$13)</f>
        <v>0.0722409403816125</v>
      </c>
      <c r="D12" s="12" t="n">
        <f aca="false">IF($B$15=0,0,B12/$B$15)</f>
        <v>0.0778660576069472</v>
      </c>
      <c r="E12" s="13" t="s">
        <v>16</v>
      </c>
    </row>
    <row r="13" customFormat="false" ht="15" hidden="false" customHeight="true" outlineLevel="0" collapsed="false">
      <c r="A13" s="14" t="s">
        <v>17</v>
      </c>
      <c r="B13" s="15" t="n">
        <f aca="false">SUM(B7:B12)</f>
        <v>5256799.51</v>
      </c>
      <c r="C13" s="16" t="n">
        <f aca="false">IF($B$13=0,0,B13/$B$13)</f>
        <v>1</v>
      </c>
      <c r="D13" s="16" t="n">
        <f aca="false">IF($B$15=0,0,B13/$B$15)</f>
        <v>1.07786605760695</v>
      </c>
      <c r="E13" s="17"/>
    </row>
    <row r="14" customFormat="false" ht="15" hidden="false" customHeight="true" outlineLevel="0" collapsed="false">
      <c r="A14" s="10" t="s">
        <v>18</v>
      </c>
      <c r="B14" s="18" t="n">
        <f aca="false">-B12</f>
        <v>-379756.14</v>
      </c>
      <c r="C14" s="12" t="n">
        <f aca="false">IF($B$13=0,0,B14/$B$13)</f>
        <v>-0.0722409403816125</v>
      </c>
      <c r="D14" s="12" t="n">
        <f aca="false">IF($B$15=0,0,B14/$B$15)</f>
        <v>-0.0778660576069472</v>
      </c>
      <c r="E14" s="13" t="s">
        <v>19</v>
      </c>
    </row>
    <row r="15" customFormat="false" ht="15" hidden="false" customHeight="true" outlineLevel="0" collapsed="false">
      <c r="A15" s="19" t="s">
        <v>20</v>
      </c>
      <c r="B15" s="20" t="n">
        <f aca="false">B13-B12</f>
        <v>4877043.37</v>
      </c>
      <c r="C15" s="21" t="n">
        <f aca="false">IF($B$13=0,0,B15/$B$13)</f>
        <v>0.927759059618388</v>
      </c>
      <c r="D15" s="21" t="n">
        <f aca="false">IF($B$15=0,0,B15/$B$15)</f>
        <v>1</v>
      </c>
      <c r="E15" s="22"/>
    </row>
    <row r="17" customFormat="false" ht="15" hidden="false" customHeight="true" outlineLevel="0" collapsed="false">
      <c r="A17" s="7" t="s">
        <v>21</v>
      </c>
      <c r="B17" s="8"/>
      <c r="C17" s="9"/>
      <c r="D17" s="9"/>
      <c r="E17" s="9"/>
    </row>
    <row r="18" customFormat="false" ht="15" hidden="false" customHeight="true" outlineLevel="0" collapsed="false">
      <c r="A18" s="10" t="s">
        <v>22</v>
      </c>
      <c r="B18" s="11" t="n">
        <v>14457824</v>
      </c>
      <c r="C18" s="12" t="n">
        <f aca="false">IF($B$13=0,0,B18/$B$13)</f>
        <v>2.75030918955477</v>
      </c>
      <c r="D18" s="12" t="n">
        <f aca="false">IF($B$15=0,0,B18/$B$15)</f>
        <v>2.96446492334556</v>
      </c>
    </row>
    <row r="19" customFormat="false" ht="15" hidden="false" customHeight="true" outlineLevel="0" collapsed="false">
      <c r="A19" s="10" t="s">
        <v>23</v>
      </c>
      <c r="B19" s="23" t="n">
        <f aca="false">'Expense Detail'!B5</f>
        <v>1667727.63</v>
      </c>
      <c r="C19" s="12" t="n">
        <f aca="false">IF($B$13=0,0,B19/$B$13)</f>
        <v>0.317251519071154</v>
      </c>
      <c r="D19" s="12" t="n">
        <f aca="false">IF($B$15=0,0,B19/$B$15)</f>
        <v>0.34195464413104</v>
      </c>
      <c r="E19" s="13" t="s">
        <v>24</v>
      </c>
    </row>
    <row r="20" customFormat="false" ht="15" hidden="false" customHeight="true" outlineLevel="0" collapsed="false">
      <c r="A20" s="10" t="s">
        <v>25</v>
      </c>
      <c r="B20" s="23" t="n">
        <f aca="false">'Expense Detail'!B8</f>
        <v>1094491.03</v>
      </c>
      <c r="C20" s="12" t="n">
        <f aca="false">IF($B$13=0,0,B20/$B$13)</f>
        <v>0.208204826514299</v>
      </c>
      <c r="D20" s="12" t="n">
        <f aca="false">IF($B$15=0,0,B20/$B$15)</f>
        <v>0.224416915529705</v>
      </c>
      <c r="E20" s="13" t="s">
        <v>26</v>
      </c>
    </row>
    <row r="21" customFormat="false" ht="15" hidden="false" customHeight="true" outlineLevel="0" collapsed="false">
      <c r="A21" s="10" t="s">
        <v>27</v>
      </c>
      <c r="B21" s="18" t="n">
        <f aca="false">-B18</f>
        <v>-14457824</v>
      </c>
      <c r="C21" s="12" t="n">
        <f aca="false">IF($B$13=0,0,B21/$B$13)</f>
        <v>-2.75030918955477</v>
      </c>
      <c r="D21" s="12" t="n">
        <f aca="false">IF($B$15=0,0,B21/$B$15)</f>
        <v>-2.96446492334556</v>
      </c>
      <c r="E21" s="13" t="s">
        <v>28</v>
      </c>
    </row>
    <row r="22" customFormat="false" ht="15" hidden="false" customHeight="true" outlineLevel="0" collapsed="false">
      <c r="A22" s="14" t="s">
        <v>29</v>
      </c>
      <c r="B22" s="15" t="n">
        <f aca="false">SUM(B18:B21)</f>
        <v>2762218.66</v>
      </c>
      <c r="C22" s="16" t="n">
        <f aca="false">IF($B$13=0,0,B22/$B$13)</f>
        <v>0.525456345585453</v>
      </c>
      <c r="D22" s="16" t="n">
        <f aca="false">IF($B$15=0,0,B22/$B$15)</f>
        <v>0.566371559660746</v>
      </c>
      <c r="E22" s="17"/>
    </row>
    <row r="23" customFormat="false" ht="15" hidden="false" customHeight="true" outlineLevel="0" collapsed="false">
      <c r="A23" s="19" t="s">
        <v>30</v>
      </c>
      <c r="B23" s="20" t="n">
        <f aca="false">B13-B22</f>
        <v>2494580.85</v>
      </c>
      <c r="C23" s="21" t="n">
        <f aca="false">IF($B$13=0,0,B23/$B$13)</f>
        <v>0.474543654414547</v>
      </c>
      <c r="D23" s="21" t="n">
        <f aca="false">IF($B$15=0,0,B23/$B$15)</f>
        <v>0.511494497946201</v>
      </c>
      <c r="E23" s="22"/>
    </row>
    <row r="25" customFormat="false" ht="15" hidden="false" customHeight="true" outlineLevel="0" collapsed="false">
      <c r="A25" s="7" t="s">
        <v>31</v>
      </c>
      <c r="B25" s="8"/>
      <c r="C25" s="9"/>
      <c r="D25" s="9"/>
      <c r="E25" s="9"/>
    </row>
    <row r="26" customFormat="false" ht="15" hidden="false" customHeight="true" outlineLevel="0" collapsed="false">
      <c r="A26" s="10" t="s">
        <v>32</v>
      </c>
      <c r="B26" s="23" t="n">
        <f aca="false">'Expense Detail'!B48</f>
        <v>1622149.83</v>
      </c>
      <c r="C26" s="12" t="n">
        <f aca="false">IF($B$13=0,0,B26/$B$13)</f>
        <v>0.308581262594129</v>
      </c>
      <c r="D26" s="12" t="n">
        <f aca="false">IF($B$15=0,0,B26/$B$15)</f>
        <v>0.332609268963708</v>
      </c>
    </row>
    <row r="27" customFormat="false" ht="15" hidden="false" customHeight="true" outlineLevel="0" collapsed="false">
      <c r="A27" s="10" t="s">
        <v>33</v>
      </c>
      <c r="B27" s="23" t="n">
        <f aca="false">'Expense Detail'!B19</f>
        <v>474617.87</v>
      </c>
      <c r="C27" s="12" t="n">
        <f aca="false">IF($B$13=0,0,B27/$B$13)</f>
        <v>0.0902864697611418</v>
      </c>
      <c r="D27" s="12" t="n">
        <f aca="false">IF($B$15=0,0,B27/$B$15)</f>
        <v>0.0973167212166908</v>
      </c>
    </row>
    <row r="28" customFormat="false" ht="15" hidden="false" customHeight="true" outlineLevel="0" collapsed="false">
      <c r="A28" s="10" t="s">
        <v>34</v>
      </c>
      <c r="B28" s="23" t="n">
        <f aca="false">'Expense Detail'!B41</f>
        <v>-25887</v>
      </c>
      <c r="C28" s="12" t="n">
        <f aca="false">IF($B$13=0,0,B28/$B$13)</f>
        <v>-0.00492447922937811</v>
      </c>
      <c r="D28" s="12" t="n">
        <f aca="false">IF($B$15=0,0,B28/$B$15)</f>
        <v>-0.00530792901273708</v>
      </c>
    </row>
    <row r="29" customFormat="false" ht="15" hidden="false" customHeight="true" outlineLevel="0" collapsed="false">
      <c r="A29" s="10" t="s">
        <v>35</v>
      </c>
      <c r="B29" s="23" t="n">
        <f aca="false">'Expense Detail'!B47</f>
        <v>36000</v>
      </c>
      <c r="C29" s="12" t="n">
        <f aca="false">IF($B$13=0,0,B29/$B$13)</f>
        <v>0.0068482733517832</v>
      </c>
      <c r="D29" s="12" t="n">
        <f aca="false">IF($B$15=0,0,B29/$B$15)</f>
        <v>0.00738152139910128</v>
      </c>
    </row>
    <row r="30" customFormat="false" ht="15" hidden="false" customHeight="true" outlineLevel="0" collapsed="false">
      <c r="A30" s="10" t="s">
        <v>36</v>
      </c>
      <c r="B30" s="23" t="n">
        <f aca="false">'Expense Detail'!B16</f>
        <v>22276.42</v>
      </c>
      <c r="C30" s="12" t="n">
        <f aca="false">IF($B$13=0,0,B30/$B$13)</f>
        <v>0.00423763926275362</v>
      </c>
      <c r="D30" s="12" t="n">
        <f aca="false">IF($B$15=0,0,B30/$B$15)</f>
        <v>0.00456760752570466</v>
      </c>
    </row>
    <row r="31" customFormat="false" ht="15" hidden="false" customHeight="true" outlineLevel="0" collapsed="false">
      <c r="A31" s="10" t="s">
        <v>37</v>
      </c>
      <c r="B31" s="23" t="n">
        <f aca="false">'Expense Detail'!B17</f>
        <v>10589.32</v>
      </c>
      <c r="C31" s="12" t="n">
        <f aca="false">IF($B$13=0,0,B31/$B$13)</f>
        <v>0.0020144043880418</v>
      </c>
      <c r="D31" s="12" t="n">
        <f aca="false">IF($B$15=0,0,B31/$B$15)</f>
        <v>0.00217125811616475</v>
      </c>
    </row>
    <row r="32" customFormat="false" ht="15" hidden="false" customHeight="true" outlineLevel="0" collapsed="false">
      <c r="A32" s="10" t="s">
        <v>38</v>
      </c>
      <c r="B32" s="23" t="n">
        <f aca="false">'Expense Detail'!B54</f>
        <v>9370</v>
      </c>
      <c r="C32" s="12" t="n">
        <f aca="false">IF($B$13=0,0,B32/$B$13)</f>
        <v>0.00178245336961691</v>
      </c>
      <c r="D32" s="12" t="n">
        <f aca="false">IF($B$15=0,0,B32/$B$15)</f>
        <v>0.00192124598637719</v>
      </c>
    </row>
    <row r="33" customFormat="false" ht="15" hidden="false" customHeight="true" outlineLevel="0" collapsed="false">
      <c r="A33" s="10" t="s">
        <v>39</v>
      </c>
      <c r="B33" s="23" t="n">
        <f aca="false">'Expense Detail'!B56</f>
        <v>5119</v>
      </c>
      <c r="C33" s="12" t="n">
        <f aca="false">IF($B$13=0,0,B33/$B$13)</f>
        <v>0.000973786424660506</v>
      </c>
      <c r="D33" s="12" t="n">
        <f aca="false">IF($B$15=0,0,B33/$B$15)</f>
        <v>0.00104961133449998</v>
      </c>
    </row>
    <row r="34" customFormat="false" ht="15" hidden="false" customHeight="true" outlineLevel="0" collapsed="false">
      <c r="A34" s="10" t="s">
        <v>40</v>
      </c>
      <c r="B34" s="23" t="n">
        <f aca="false">'Expense Detail'!B55</f>
        <v>3800</v>
      </c>
      <c r="C34" s="12" t="n">
        <f aca="false">IF($B$13=0,0,B34/$B$13)</f>
        <v>0.000722873298243783</v>
      </c>
      <c r="D34" s="12" t="n">
        <f aca="false">IF($B$15=0,0,B34/$B$15)</f>
        <v>0.000779160592127357</v>
      </c>
    </row>
    <row r="35" customFormat="false" ht="15" hidden="false" customHeight="true" outlineLevel="0" collapsed="false">
      <c r="A35" s="10" t="s">
        <v>41</v>
      </c>
      <c r="B35" s="23" t="n">
        <f aca="false">'Expense Detail'!B18</f>
        <v>2575</v>
      </c>
      <c r="C35" s="12" t="n">
        <f aca="false">IF($B$13=0,0,B35/$B$13)</f>
        <v>0.000489841774467826</v>
      </c>
      <c r="D35" s="12" t="n">
        <f aca="false">IF($B$15=0,0,B35/$B$15)</f>
        <v>0.000527983822296827</v>
      </c>
    </row>
    <row r="36" customFormat="false" ht="15" hidden="false" customHeight="true" outlineLevel="0" collapsed="false">
      <c r="A36" s="10" t="s">
        <v>42</v>
      </c>
      <c r="B36" s="23" t="n">
        <f aca="false">'Expense Detail'!B44</f>
        <v>-4.21</v>
      </c>
      <c r="C36" s="12" t="n">
        <f aca="false">IF($B$13=0,0,B36/$B$13)</f>
        <v>-8.0086752252798E-007</v>
      </c>
      <c r="D36" s="12" t="n">
        <f aca="false">IF($B$15=0,0,B36/$B$15)</f>
        <v>-8.63227919172677E-007</v>
      </c>
    </row>
    <row r="37" customFormat="false" ht="15" hidden="false" customHeight="true" outlineLevel="0" collapsed="false">
      <c r="A37" s="14" t="s">
        <v>43</v>
      </c>
      <c r="B37" s="15" t="n">
        <f aca="false">SUM(B26:B36)</f>
        <v>2160606.23</v>
      </c>
      <c r="C37" s="16" t="n">
        <f aca="false">IF($B$13=0,0,B37/$B$13)</f>
        <v>0.411011724127938</v>
      </c>
      <c r="D37" s="16" t="n">
        <f aca="false">IF($B$15=0,0,B37/$B$15)</f>
        <v>0.443015586716015</v>
      </c>
      <c r="E37" s="17"/>
    </row>
    <row r="38" customFormat="false" ht="15" hidden="false" customHeight="true" outlineLevel="0" collapsed="false">
      <c r="A38" s="10" t="s">
        <v>44</v>
      </c>
      <c r="B38" s="11" t="n">
        <v>5221.53</v>
      </c>
      <c r="C38" s="12" t="n">
        <f aca="false">IF($B$13=0,0,B38/$B$13)</f>
        <v>0.000993290687626015</v>
      </c>
      <c r="D38" s="12" t="n">
        <f aca="false">IF($B$15=0,0,B38/$B$15)</f>
        <v>0.00107063431752915</v>
      </c>
    </row>
    <row r="39" customFormat="false" ht="15" hidden="false" customHeight="true" outlineLevel="0" collapsed="false">
      <c r="A39" s="24" t="s">
        <v>45</v>
      </c>
      <c r="B39" s="25" t="n">
        <f aca="false">B23-B37+B38</f>
        <v>339196.15</v>
      </c>
      <c r="C39" s="26" t="n">
        <f aca="false">IF($B$13=0,0,B39/$B$13)</f>
        <v>0.0645252209742349</v>
      </c>
      <c r="D39" s="26" t="n">
        <f aca="false">IF($B$15=0,0,B39/$B$15)</f>
        <v>0.0695495455477157</v>
      </c>
      <c r="E39" s="27"/>
    </row>
    <row r="41" customFormat="false" ht="15" hidden="false" customHeight="true" outlineLevel="0" collapsed="false">
      <c r="A41" s="28" t="s">
        <v>46</v>
      </c>
      <c r="B41" s="11" t="n">
        <v>339196.15</v>
      </c>
    </row>
    <row r="42" customFormat="false" ht="15" hidden="false" customHeight="true" outlineLevel="0" collapsed="false">
      <c r="A42" s="28" t="s">
        <v>47</v>
      </c>
      <c r="B42" s="29" t="n">
        <f aca="false">B39-B41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3" min="2" style="1" width="17"/>
    <col collapsed="false" customWidth="true" hidden="false" outlineLevel="0" max="5" min="4" style="1" width="20"/>
  </cols>
  <sheetData>
    <row r="1" customFormat="false" ht="15.75" hidden="false" customHeight="true" outlineLevel="0" collapsed="false">
      <c r="A1" s="2" t="s">
        <v>48</v>
      </c>
    </row>
    <row r="2" customFormat="false" ht="15" hidden="false" customHeight="true" outlineLevel="0" collapsed="false">
      <c r="A2" s="3" t="s">
        <v>49</v>
      </c>
    </row>
    <row r="4" customFormat="false" ht="27.75" hidden="false" customHeight="true" outlineLevel="0" collapsed="false">
      <c r="A4" s="5" t="s">
        <v>3</v>
      </c>
      <c r="B4" s="6" t="s">
        <v>4</v>
      </c>
      <c r="C4" s="6" t="s">
        <v>50</v>
      </c>
      <c r="D4" s="6" t="s">
        <v>6</v>
      </c>
      <c r="E4" s="6" t="s">
        <v>51</v>
      </c>
    </row>
    <row r="5" customFormat="false" ht="15" hidden="false" customHeight="true" outlineLevel="0" collapsed="false">
      <c r="A5" s="7" t="s">
        <v>52</v>
      </c>
      <c r="B5" s="30" t="n">
        <f aca="false">B6+B7</f>
        <v>1667727.63</v>
      </c>
      <c r="C5" s="31" t="n">
        <v>1</v>
      </c>
      <c r="D5" s="31" t="n">
        <f aca="false">IF('P&amp;L Statement'!$B$15=0,0,B5/'P&amp;L Statement'!$B$15)</f>
        <v>0.34195464413104</v>
      </c>
      <c r="E5" s="32" t="s">
        <v>53</v>
      </c>
    </row>
    <row r="6" customFormat="false" ht="15" hidden="false" customHeight="true" outlineLevel="0" collapsed="false">
      <c r="A6" s="10" t="s">
        <v>54</v>
      </c>
      <c r="B6" s="11" t="n">
        <v>1286280.79</v>
      </c>
      <c r="C6" s="12" t="n">
        <f aca="false">IF(B5=0,0,B6/B5)</f>
        <v>0.771277495714333</v>
      </c>
      <c r="D6" s="12" t="n">
        <f aca="false">IF('P&amp;L Statement'!$B$15=0,0,B6/'P&amp;L Statement'!$B$15)</f>
        <v>0.263741921573275</v>
      </c>
    </row>
    <row r="7" customFormat="false" ht="15" hidden="false" customHeight="true" outlineLevel="0" collapsed="false">
      <c r="A7" s="10" t="s">
        <v>55</v>
      </c>
      <c r="B7" s="11" t="n">
        <v>381446.84</v>
      </c>
      <c r="C7" s="12" t="n">
        <f aca="false">IF(B5=0,0,B7/B5)</f>
        <v>0.228722504285667</v>
      </c>
      <c r="D7" s="12" t="n">
        <f aca="false">IF('P&amp;L Statement'!$B$15=0,0,B7/'P&amp;L Statement'!$B$15)</f>
        <v>0.0782127225577656</v>
      </c>
    </row>
    <row r="8" customFormat="false" ht="15" hidden="false" customHeight="true" outlineLevel="0" collapsed="false">
      <c r="A8" s="7" t="s">
        <v>56</v>
      </c>
      <c r="B8" s="30" t="n">
        <f aca="false">B9+B10+B11</f>
        <v>1094491.03</v>
      </c>
      <c r="C8" s="31" t="n">
        <v>1</v>
      </c>
      <c r="D8" s="31" t="n">
        <f aca="false">IF('P&amp;L Statement'!$B$15=0,0,B8/'P&amp;L Statement'!$B$15)</f>
        <v>0.224416915529705</v>
      </c>
      <c r="E8" s="32" t="s">
        <v>57</v>
      </c>
    </row>
    <row r="9" customFormat="false" ht="15" hidden="false" customHeight="true" outlineLevel="0" collapsed="false">
      <c r="A9" s="10" t="s">
        <v>58</v>
      </c>
      <c r="B9" s="11" t="n">
        <v>395615</v>
      </c>
      <c r="C9" s="12" t="n">
        <f aca="false">IF(B8=0,0,B9/B8)</f>
        <v>0.361460248787969</v>
      </c>
      <c r="D9" s="12" t="n">
        <f aca="false">IF('P&amp;L Statement'!$B$15=0,0,B9/'P&amp;L Statement'!$B$15)</f>
        <v>0.0811177941195959</v>
      </c>
    </row>
    <row r="10" customFormat="false" ht="15" hidden="false" customHeight="true" outlineLevel="0" collapsed="false">
      <c r="A10" s="10" t="s">
        <v>59</v>
      </c>
      <c r="B10" s="11" t="n">
        <v>36584</v>
      </c>
      <c r="C10" s="12" t="n">
        <f aca="false">IF(B8=0,0,B10/B8)</f>
        <v>0.0334255823001126</v>
      </c>
      <c r="D10" s="12" t="n">
        <f aca="false">IF('P&amp;L Statement'!$B$15=0,0,B10/'P&amp;L Statement'!$B$15)</f>
        <v>0.00750126607957559</v>
      </c>
    </row>
    <row r="11" customFormat="false" ht="15" hidden="false" customHeight="true" outlineLevel="0" collapsed="false">
      <c r="A11" s="28" t="s">
        <v>60</v>
      </c>
      <c r="B11" s="29" t="n">
        <f aca="false">B12+B13+B14</f>
        <v>662292.03</v>
      </c>
      <c r="C11" s="12" t="n">
        <f aca="false">IF(B8=0,0,B11/B8)</f>
        <v>0.605114168911919</v>
      </c>
      <c r="D11" s="12" t="n">
        <f aca="false">IF('P&amp;L Statement'!$B$15=0,0,B11/'P&amp;L Statement'!$B$15)</f>
        <v>0.135797855330534</v>
      </c>
    </row>
    <row r="12" customFormat="false" ht="15" hidden="false" customHeight="true" outlineLevel="0" collapsed="false">
      <c r="A12" s="10" t="s">
        <v>61</v>
      </c>
      <c r="B12" s="11" t="n">
        <v>5788</v>
      </c>
      <c r="C12" s="12" t="n">
        <f aca="false">IF(B11=0,0,B12/B11)</f>
        <v>0.00873934720307596</v>
      </c>
      <c r="D12" s="12" t="n">
        <f aca="false">IF('P&amp;L Statement'!$B$15=0,0,B12/'P&amp;L Statement'!$B$15)</f>
        <v>0.00118678460716662</v>
      </c>
    </row>
    <row r="13" customFormat="false" ht="15" hidden="false" customHeight="true" outlineLevel="0" collapsed="false">
      <c r="A13" s="10" t="s">
        <v>62</v>
      </c>
      <c r="B13" s="11" t="n">
        <v>296823.03</v>
      </c>
      <c r="C13" s="12" t="n">
        <f aca="false">IF(B11=0,0,B13/B11)</f>
        <v>0.448175452149107</v>
      </c>
      <c r="D13" s="12" t="n">
        <f aca="false">IF('P&amp;L Statement'!$B$15=0,0,B13/'P&amp;L Statement'!$B$15)</f>
        <v>0.0608612652136411</v>
      </c>
    </row>
    <row r="14" customFormat="false" ht="15" hidden="false" customHeight="true" outlineLevel="0" collapsed="false">
      <c r="A14" s="10" t="s">
        <v>63</v>
      </c>
      <c r="B14" s="11" t="n">
        <v>359681</v>
      </c>
      <c r="C14" s="12" t="n">
        <f aca="false">IF(B11=0,0,B14/B11)</f>
        <v>0.543085200647817</v>
      </c>
      <c r="D14" s="12" t="n">
        <f aca="false">IF('P&amp;L Statement'!$B$15=0,0,B14/'P&amp;L Statement'!$B$15)</f>
        <v>0.0737498055097263</v>
      </c>
    </row>
    <row r="15" customFormat="false" ht="15" hidden="false" customHeight="true" outlineLevel="0" collapsed="false">
      <c r="A15" s="7" t="s">
        <v>31</v>
      </c>
      <c r="B15" s="30" t="n">
        <f aca="false">B16+B17+B18+B19+B41+B44+B47+B48+B54+B55+B56</f>
        <v>2160606.23</v>
      </c>
      <c r="C15" s="31" t="n">
        <v>1</v>
      </c>
      <c r="D15" s="31" t="n">
        <f aca="false">IF('P&amp;L Statement'!$B$15=0,0,B15/'P&amp;L Statement'!$B$15)</f>
        <v>0.443015586716015</v>
      </c>
      <c r="E15" s="32" t="s">
        <v>64</v>
      </c>
    </row>
    <row r="16" customFormat="false" ht="15" hidden="false" customHeight="true" outlineLevel="0" collapsed="false">
      <c r="A16" s="10" t="s">
        <v>36</v>
      </c>
      <c r="B16" s="11" t="n">
        <v>22276.42</v>
      </c>
      <c r="C16" s="12" t="n">
        <f aca="false">IF(B15=0,0,B16/B15)</f>
        <v>0.0103102637077928</v>
      </c>
      <c r="D16" s="12" t="n">
        <f aca="false">IF('P&amp;L Statement'!$B$15=0,0,B16/'P&amp;L Statement'!$B$15)</f>
        <v>0.00456760752570466</v>
      </c>
    </row>
    <row r="17" customFormat="false" ht="15" hidden="false" customHeight="true" outlineLevel="0" collapsed="false">
      <c r="A17" s="10" t="s">
        <v>37</v>
      </c>
      <c r="B17" s="11" t="n">
        <v>10589.32</v>
      </c>
      <c r="C17" s="12" t="n">
        <f aca="false">IF(B15=0,0,B17/B15)</f>
        <v>0.00490108741378571</v>
      </c>
      <c r="D17" s="12" t="n">
        <f aca="false">IF('P&amp;L Statement'!$B$15=0,0,B17/'P&amp;L Statement'!$B$15)</f>
        <v>0.00217125811616475</v>
      </c>
    </row>
    <row r="18" customFormat="false" ht="15" hidden="false" customHeight="true" outlineLevel="0" collapsed="false">
      <c r="A18" s="10" t="s">
        <v>41</v>
      </c>
      <c r="B18" s="11" t="n">
        <v>2575</v>
      </c>
      <c r="C18" s="12" t="n">
        <f aca="false">IF(B15=0,0,B18/B15)</f>
        <v>0.00119179513797847</v>
      </c>
      <c r="D18" s="12" t="n">
        <f aca="false">IF('P&amp;L Statement'!$B$15=0,0,B18/'P&amp;L Statement'!$B$15)</f>
        <v>0.000527983822296827</v>
      </c>
    </row>
    <row r="19" customFormat="false" ht="15" hidden="false" customHeight="true" outlineLevel="0" collapsed="false">
      <c r="A19" s="28" t="s">
        <v>33</v>
      </c>
      <c r="B19" s="29" t="n">
        <f aca="false">B20+B31+B32+B40</f>
        <v>474617.87</v>
      </c>
      <c r="C19" s="12" t="n">
        <f aca="false">IF(B15=0,0,B19/B15)</f>
        <v>0.219668842665514</v>
      </c>
      <c r="D19" s="12" t="n">
        <f aca="false">IF('P&amp;L Statement'!$B$15=0,0,B19/'P&amp;L Statement'!$B$15)</f>
        <v>0.0973167212166908</v>
      </c>
    </row>
    <row r="20" customFormat="false" ht="15" hidden="false" customHeight="true" outlineLevel="0" collapsed="false">
      <c r="A20" s="28" t="s">
        <v>65</v>
      </c>
      <c r="B20" s="29" t="n">
        <f aca="false">B21+B22+B23+B24+B25+B26+B27+B28+B29+B30</f>
        <v>269731.13</v>
      </c>
      <c r="C20" s="12" t="n">
        <f aca="false">IF(B19=0,0,B20/B19)</f>
        <v>0.568312208724884</v>
      </c>
      <c r="D20" s="12" t="n">
        <f aca="false">IF('P&amp;L Statement'!$B$15=0,0,B20/'P&amp;L Statement'!$B$15)</f>
        <v>0.0553062807805213</v>
      </c>
    </row>
    <row r="21" customFormat="false" ht="15" hidden="false" customHeight="true" outlineLevel="0" collapsed="false">
      <c r="A21" s="10" t="s">
        <v>66</v>
      </c>
      <c r="B21" s="11" t="n">
        <v>16726.52</v>
      </c>
      <c r="C21" s="12" t="n">
        <f aca="false">IF(B20=0,0,B21/B20)</f>
        <v>0.0620118263694665</v>
      </c>
      <c r="D21" s="12" t="n">
        <f aca="false">IF('P&amp;L Statement'!$B$15=0,0,B21/'P&amp;L Statement'!$B$15)</f>
        <v>0.00342964348090265</v>
      </c>
    </row>
    <row r="22" customFormat="false" ht="15" hidden="false" customHeight="true" outlineLevel="0" collapsed="false">
      <c r="A22" s="10" t="s">
        <v>67</v>
      </c>
      <c r="B22" s="11" t="n">
        <v>78649</v>
      </c>
      <c r="C22" s="12" t="n">
        <f aca="false">IF(B20=0,0,B22/B20)</f>
        <v>0.291582955219147</v>
      </c>
      <c r="D22" s="12" t="n">
        <f aca="false">IF('P&amp;L Statement'!$B$15=0,0,B22/'P&amp;L Statement'!$B$15)</f>
        <v>0.0161263687921643</v>
      </c>
    </row>
    <row r="23" customFormat="false" ht="15" hidden="false" customHeight="true" outlineLevel="0" collapsed="false">
      <c r="A23" s="10" t="s">
        <v>68</v>
      </c>
      <c r="B23" s="11" t="n">
        <v>54465.97</v>
      </c>
      <c r="C23" s="12" t="n">
        <f aca="false">IF(B20=0,0,B23/B20)</f>
        <v>0.201926896609969</v>
      </c>
      <c r="D23" s="12" t="n">
        <f aca="false">IF('P&amp;L Statement'!$B$15=0,0,B23/'P&amp;L Statement'!$B$15)</f>
        <v>0.0111678256410502</v>
      </c>
    </row>
    <row r="24" customFormat="false" ht="15" hidden="false" customHeight="true" outlineLevel="0" collapsed="false">
      <c r="A24" s="10" t="s">
        <v>69</v>
      </c>
      <c r="B24" s="11" t="n">
        <v>3189.19</v>
      </c>
      <c r="C24" s="12" t="n">
        <f aca="false">IF(B20=0,0,B24/B20)</f>
        <v>0.0118235889198255</v>
      </c>
      <c r="D24" s="12" t="n">
        <f aca="false">IF('P&amp;L Statement'!$B$15=0,0,B24/'P&amp;L Statement'!$B$15)</f>
        <v>0.000653918728633328</v>
      </c>
    </row>
    <row r="25" customFormat="false" ht="15" hidden="false" customHeight="true" outlineLevel="0" collapsed="false">
      <c r="A25" s="10" t="s">
        <v>70</v>
      </c>
      <c r="B25" s="11" t="n">
        <v>86240.53</v>
      </c>
      <c r="C25" s="12" t="n">
        <f aca="false">IF(B20=0,0,B25/B20)</f>
        <v>0.319727760010496</v>
      </c>
      <c r="D25" s="12" t="n">
        <f aca="false">IF('P&amp;L Statement'!$B$15=0,0,B25/'P&amp;L Statement'!$B$15)</f>
        <v>0.0176829532684677</v>
      </c>
    </row>
    <row r="26" customFormat="false" ht="15" hidden="false" customHeight="true" outlineLevel="0" collapsed="false">
      <c r="A26" s="10" t="s">
        <v>71</v>
      </c>
      <c r="B26" s="11" t="n">
        <v>1320.36</v>
      </c>
      <c r="C26" s="12" t="n">
        <f aca="false">IF(B20=0,0,B26/B20)</f>
        <v>0.00489509683216765</v>
      </c>
      <c r="D26" s="12" t="n">
        <f aca="false">IF('P&amp;L Statement'!$B$15=0,0,B26/'P&amp;L Statement'!$B$15)</f>
        <v>0.000270729599847704</v>
      </c>
    </row>
    <row r="27" customFormat="false" ht="15" hidden="false" customHeight="true" outlineLevel="0" collapsed="false">
      <c r="A27" s="10" t="s">
        <v>72</v>
      </c>
      <c r="B27" s="11" t="n">
        <v>15224</v>
      </c>
      <c r="C27" s="12" t="n">
        <f aca="false">IF(B20=0,0,B27/B20)</f>
        <v>0.0564413903578723</v>
      </c>
      <c r="D27" s="12" t="n">
        <f aca="false">IF('P&amp;L Statement'!$B$15=0,0,B27/'P&amp;L Statement'!$B$15)</f>
        <v>0.0031215633827755</v>
      </c>
    </row>
    <row r="28" customFormat="false" ht="15" hidden="false" customHeight="true" outlineLevel="0" collapsed="false">
      <c r="A28" s="10" t="s">
        <v>73</v>
      </c>
      <c r="B28" s="11" t="n">
        <v>12350</v>
      </c>
      <c r="C28" s="12" t="n">
        <f aca="false">IF(B20=0,0,B28/B20)</f>
        <v>0.0457863354518998</v>
      </c>
      <c r="D28" s="12" t="n">
        <f aca="false">IF('P&amp;L Statement'!$B$15=0,0,B28/'P&amp;L Statement'!$B$15)</f>
        <v>0.00253227192441391</v>
      </c>
    </row>
    <row r="29" customFormat="false" ht="15" hidden="false" customHeight="true" outlineLevel="0" collapsed="false">
      <c r="A29" s="10" t="s">
        <v>74</v>
      </c>
      <c r="B29" s="11" t="n">
        <v>1130</v>
      </c>
      <c r="C29" s="12" t="n">
        <f aca="false">IF(B20=0,0,B29/B20)</f>
        <v>0.00418935700895926</v>
      </c>
      <c r="D29" s="12" t="n">
        <f aca="false">IF('P&amp;L Statement'!$B$15=0,0,B29/'P&amp;L Statement'!$B$15)</f>
        <v>0.000231697755027346</v>
      </c>
    </row>
    <row r="30" customFormat="false" ht="15" hidden="false" customHeight="true" outlineLevel="0" collapsed="false">
      <c r="A30" s="10" t="s">
        <v>75</v>
      </c>
      <c r="B30" s="11" t="n">
        <v>435.56</v>
      </c>
      <c r="C30" s="12" t="n">
        <f aca="false">IF(B20=0,0,B30/B20)</f>
        <v>0.00161479322019672</v>
      </c>
      <c r="D30" s="12" t="n">
        <f aca="false">IF('P&amp;L Statement'!$B$15=0,0,B30/'P&amp;L Statement'!$B$15)</f>
        <v>8.9308207238682E-005</v>
      </c>
    </row>
    <row r="31" customFormat="false" ht="15" hidden="false" customHeight="true" outlineLevel="0" collapsed="false">
      <c r="A31" s="10" t="s">
        <v>76</v>
      </c>
      <c r="B31" s="11" t="n">
        <v>8223.93</v>
      </c>
      <c r="C31" s="12" t="n">
        <f aca="false">IF(B19=0,0,B31/B19)</f>
        <v>0.0173274765233766</v>
      </c>
      <c r="D31" s="12" t="n">
        <f aca="false">IF('P&amp;L Statement'!$B$15=0,0,B31/'P&amp;L Statement'!$B$15)</f>
        <v>0.00168625320221419</v>
      </c>
    </row>
    <row r="32" customFormat="false" ht="15" hidden="false" customHeight="true" outlineLevel="0" collapsed="false">
      <c r="A32" s="28" t="s">
        <v>77</v>
      </c>
      <c r="B32" s="29" t="n">
        <f aca="false">B33+B34+B35+B39</f>
        <v>44101.78</v>
      </c>
      <c r="C32" s="12" t="n">
        <f aca="false">IF(B19=0,0,B32/B19)</f>
        <v>0.092920605791771</v>
      </c>
      <c r="D32" s="12" t="n">
        <f aca="false">IF('P&amp;L Statement'!$B$15=0,0,B32/'P&amp;L Statement'!$B$15)</f>
        <v>0.0090427286891238</v>
      </c>
    </row>
    <row r="33" customFormat="false" ht="15" hidden="false" customHeight="true" outlineLevel="0" collapsed="false">
      <c r="A33" s="10" t="s">
        <v>78</v>
      </c>
      <c r="B33" s="11" t="n">
        <v>15014.55</v>
      </c>
      <c r="C33" s="12" t="n">
        <f aca="false">IF(B32=0,0,B33/B32)</f>
        <v>0.340452244784678</v>
      </c>
      <c r="D33" s="12" t="n">
        <f aca="false">IF('P&amp;L Statement'!$B$15=0,0,B33/'P&amp;L Statement'!$B$15)</f>
        <v>0.003078617281191</v>
      </c>
    </row>
    <row r="34" customFormat="false" ht="15" hidden="false" customHeight="true" outlineLevel="0" collapsed="false">
      <c r="A34" s="10" t="s">
        <v>79</v>
      </c>
      <c r="B34" s="11" t="n">
        <v>8400</v>
      </c>
      <c r="C34" s="12" t="n">
        <f aca="false">IF(B32=0,0,B34/B32)</f>
        <v>0.190468502631867</v>
      </c>
      <c r="D34" s="12" t="n">
        <f aca="false">IF('P&amp;L Statement'!$B$15=0,0,B34/'P&amp;L Statement'!$B$15)</f>
        <v>0.00172235499312363</v>
      </c>
    </row>
    <row r="35" customFormat="false" ht="15" hidden="false" customHeight="true" outlineLevel="0" collapsed="false">
      <c r="A35" s="28" t="s">
        <v>80</v>
      </c>
      <c r="B35" s="29" t="n">
        <f aca="false">B36+B37+B38</f>
        <v>8376.65</v>
      </c>
      <c r="C35" s="12" t="n">
        <f aca="false">IF(B32=0,0,B35/B32)</f>
        <v>0.189939045544193</v>
      </c>
      <c r="D35" s="12" t="n">
        <f aca="false">IF('P&amp;L Statement'!$B$15=0,0,B35/'P&amp;L Statement'!$B$15)</f>
        <v>0.00171756725632727</v>
      </c>
    </row>
    <row r="36" customFormat="false" ht="15" hidden="false" customHeight="true" outlineLevel="0" collapsed="false">
      <c r="A36" s="10" t="s">
        <v>81</v>
      </c>
      <c r="B36" s="11" t="n">
        <v>2213.73</v>
      </c>
      <c r="C36" s="12" t="n">
        <f aca="false">IF(B35=0,0,B36/B35)</f>
        <v>0.264273904245731</v>
      </c>
      <c r="D36" s="12" t="n">
        <f aca="false">IF('P&amp;L Statement'!$B$15=0,0,B36/'P&amp;L Statement'!$B$15)</f>
        <v>0.000453908204634235</v>
      </c>
    </row>
    <row r="37" customFormat="false" ht="15" hidden="false" customHeight="true" outlineLevel="0" collapsed="false">
      <c r="A37" s="10" t="s">
        <v>82</v>
      </c>
      <c r="B37" s="11" t="n">
        <v>3796.92</v>
      </c>
      <c r="C37" s="12" t="n">
        <f aca="false">IF(B35=0,0,B37/B35)</f>
        <v>0.453274280291047</v>
      </c>
      <c r="D37" s="12" t="n">
        <f aca="false">IF('P&amp;L Statement'!$B$15=0,0,B37/'P&amp;L Statement'!$B$15)</f>
        <v>0.000778529061963212</v>
      </c>
    </row>
    <row r="38" customFormat="false" ht="15" hidden="false" customHeight="true" outlineLevel="0" collapsed="false">
      <c r="A38" s="10" t="s">
        <v>83</v>
      </c>
      <c r="B38" s="11" t="n">
        <v>2366</v>
      </c>
      <c r="C38" s="12" t="n">
        <f aca="false">IF(B35=0,0,B38/B35)</f>
        <v>0.282451815463222</v>
      </c>
      <c r="D38" s="12" t="n">
        <f aca="false">IF('P&amp;L Statement'!$B$15=0,0,B38/'P&amp;L Statement'!$B$15)</f>
        <v>0.000485129989729823</v>
      </c>
    </row>
    <row r="39" customFormat="false" ht="15" hidden="false" customHeight="true" outlineLevel="0" collapsed="false">
      <c r="A39" s="10" t="s">
        <v>84</v>
      </c>
      <c r="B39" s="11" t="n">
        <v>12310.58</v>
      </c>
      <c r="C39" s="12" t="n">
        <f aca="false">IF(B32=0,0,B39/B32)</f>
        <v>0.279140207039262</v>
      </c>
      <c r="D39" s="12" t="n">
        <f aca="false">IF('P&amp;L Statement'!$B$15=0,0,B39/'P&amp;L Statement'!$B$15)</f>
        <v>0.00252418915848189</v>
      </c>
    </row>
    <row r="40" customFormat="false" ht="15" hidden="false" customHeight="true" outlineLevel="0" collapsed="false">
      <c r="A40" s="10" t="s">
        <v>85</v>
      </c>
      <c r="B40" s="11" t="n">
        <v>152561.03</v>
      </c>
      <c r="C40" s="12" t="n">
        <f aca="false">IF(B19=0,0,B40/B19)</f>
        <v>0.321439708959968</v>
      </c>
      <c r="D40" s="12" t="n">
        <f aca="false">IF('P&amp;L Statement'!$B$15=0,0,B40/'P&amp;L Statement'!$B$15)</f>
        <v>0.0312814585448314</v>
      </c>
    </row>
    <row r="41" customFormat="false" ht="15" hidden="false" customHeight="true" outlineLevel="0" collapsed="false">
      <c r="A41" s="28" t="s">
        <v>34</v>
      </c>
      <c r="B41" s="29" t="n">
        <f aca="false">B42+B43</f>
        <v>-25887</v>
      </c>
      <c r="C41" s="12" t="n">
        <f aca="false">IF(B15=0,0,B41/B15)</f>
        <v>-0.0119813595094558</v>
      </c>
      <c r="D41" s="12" t="n">
        <f aca="false">IF('P&amp;L Statement'!$B$15=0,0,B41/'P&amp;L Statement'!$B$15)</f>
        <v>-0.00530792901273708</v>
      </c>
    </row>
    <row r="42" customFormat="false" ht="15" hidden="false" customHeight="true" outlineLevel="0" collapsed="false">
      <c r="A42" s="10" t="s">
        <v>86</v>
      </c>
      <c r="B42" s="11" t="n">
        <v>419204</v>
      </c>
      <c r="C42" s="10"/>
      <c r="D42" s="12" t="n">
        <f aca="false">IF('P&amp;L Statement'!$B$15=0,0,B42/'P&amp;L Statement'!$B$15)</f>
        <v>0.085954536016357</v>
      </c>
    </row>
    <row r="43" customFormat="false" ht="15" hidden="false" customHeight="true" outlineLevel="0" collapsed="false">
      <c r="A43" s="10" t="s">
        <v>87</v>
      </c>
      <c r="B43" s="11" t="n">
        <v>-445091</v>
      </c>
      <c r="C43" s="10"/>
      <c r="D43" s="12" t="n">
        <f aca="false">IF('P&amp;L Statement'!$B$15=0,0,B43/'P&amp;L Statement'!$B$15)</f>
        <v>-0.0912624650290941</v>
      </c>
    </row>
    <row r="44" customFormat="false" ht="15" hidden="false" customHeight="true" outlineLevel="0" collapsed="false">
      <c r="A44" s="28" t="s">
        <v>42</v>
      </c>
      <c r="B44" s="29" t="n">
        <f aca="false">B45+B46</f>
        <v>-4.21</v>
      </c>
      <c r="C44" s="12" t="n">
        <f aca="false">IF(B15=0,0,B44/B15)</f>
        <v>-1.94852719646189E-006</v>
      </c>
      <c r="D44" s="12" t="n">
        <f aca="false">IF('P&amp;L Statement'!$B$15=0,0,B44/'P&amp;L Statement'!$B$15)</f>
        <v>-8.63227919172677E-007</v>
      </c>
    </row>
    <row r="45" customFormat="false" ht="15" hidden="false" customHeight="true" outlineLevel="0" collapsed="false">
      <c r="A45" s="10" t="s">
        <v>88</v>
      </c>
      <c r="B45" s="11" t="n">
        <v>0.03</v>
      </c>
      <c r="C45" s="10"/>
      <c r="D45" s="12" t="n">
        <f aca="false">IF('P&amp;L Statement'!$B$15=0,0,B45/'P&amp;L Statement'!$B$15)</f>
        <v>6.1512678325844E-009</v>
      </c>
    </row>
    <row r="46" customFormat="false" ht="15" hidden="false" customHeight="true" outlineLevel="0" collapsed="false">
      <c r="A46" s="10" t="s">
        <v>89</v>
      </c>
      <c r="B46" s="11" t="n">
        <v>-4.24</v>
      </c>
      <c r="C46" s="10"/>
      <c r="D46" s="12" t="n">
        <f aca="false">IF('P&amp;L Statement'!$B$15=0,0,B46/'P&amp;L Statement'!$B$15)</f>
        <v>-8.69379187005261E-007</v>
      </c>
    </row>
    <row r="47" customFormat="false" ht="15" hidden="false" customHeight="true" outlineLevel="0" collapsed="false">
      <c r="A47" s="10" t="s">
        <v>35</v>
      </c>
      <c r="B47" s="11" t="n">
        <v>36000</v>
      </c>
      <c r="C47" s="12" t="n">
        <f aca="false">IF(B15=0,0,B47/B15)</f>
        <v>0.016661990278534</v>
      </c>
      <c r="D47" s="12" t="n">
        <f aca="false">IF('P&amp;L Statement'!$B$15=0,0,B47/'P&amp;L Statement'!$B$15)</f>
        <v>0.00738152139910128</v>
      </c>
    </row>
    <row r="48" customFormat="false" ht="15" hidden="false" customHeight="true" outlineLevel="0" collapsed="false">
      <c r="A48" s="28" t="s">
        <v>32</v>
      </c>
      <c r="B48" s="29" t="n">
        <f aca="false">B49+B53</f>
        <v>1622149.83</v>
      </c>
      <c r="C48" s="12" t="n">
        <f aca="false">IF(B15=0,0,B48/B15)</f>
        <v>0.750784574938489</v>
      </c>
      <c r="D48" s="12" t="n">
        <f aca="false">IF('P&amp;L Statement'!$B$15=0,0,B48/'P&amp;L Statement'!$B$15)</f>
        <v>0.332609268963708</v>
      </c>
    </row>
    <row r="49" customFormat="false" ht="15" hidden="false" customHeight="true" outlineLevel="0" collapsed="false">
      <c r="A49" s="28" t="s">
        <v>90</v>
      </c>
      <c r="B49" s="29" t="n">
        <f aca="false">B50+B51+B52</f>
        <v>1008859.7</v>
      </c>
      <c r="C49" s="12" t="n">
        <f aca="false">IF(B48=0,0,B49/B48)</f>
        <v>0.62192756879924</v>
      </c>
      <c r="D49" s="12" t="n">
        <f aca="false">IF('P&amp;L Statement'!$B$15=0,0,B49/'P&amp;L Statement'!$B$15)</f>
        <v>0.206858874006691</v>
      </c>
    </row>
    <row r="50" customFormat="false" ht="15" hidden="false" customHeight="true" outlineLevel="0" collapsed="false">
      <c r="A50" s="10" t="s">
        <v>91</v>
      </c>
      <c r="B50" s="11" t="n">
        <v>132224.2</v>
      </c>
      <c r="C50" s="12" t="n">
        <f aca="false">IF(B49=0,0,B50/B49)</f>
        <v>0.13106302095326</v>
      </c>
      <c r="D50" s="12" t="n">
        <f aca="false">IF('P&amp;L Statement'!$B$15=0,0,B50/'P&amp;L Statement'!$B$15)</f>
        <v>0.0271115489383069</v>
      </c>
    </row>
    <row r="51" customFormat="false" ht="15" hidden="false" customHeight="true" outlineLevel="0" collapsed="false">
      <c r="A51" s="10" t="s">
        <v>92</v>
      </c>
      <c r="B51" s="11" t="n">
        <v>180000</v>
      </c>
      <c r="C51" s="12" t="n">
        <f aca="false">IF(B49=0,0,B51/B49)</f>
        <v>0.178419258891995</v>
      </c>
      <c r="D51" s="12" t="n">
        <f aca="false">IF('P&amp;L Statement'!$B$15=0,0,B51/'P&amp;L Statement'!$B$15)</f>
        <v>0.0369076069955064</v>
      </c>
    </row>
    <row r="52" customFormat="false" ht="15" hidden="false" customHeight="true" outlineLevel="0" collapsed="false">
      <c r="A52" s="10" t="s">
        <v>93</v>
      </c>
      <c r="B52" s="11" t="n">
        <v>696635.5</v>
      </c>
      <c r="C52" s="12" t="n">
        <f aca="false">IF(B49=0,0,B52/B49)</f>
        <v>0.690517720154745</v>
      </c>
      <c r="D52" s="12" t="n">
        <f aca="false">IF('P&amp;L Statement'!$B$15=0,0,B52/'P&amp;L Statement'!$B$15)</f>
        <v>0.142839718072878</v>
      </c>
    </row>
    <row r="53" customFormat="false" ht="15" hidden="false" customHeight="true" outlineLevel="0" collapsed="false">
      <c r="A53" s="10" t="s">
        <v>94</v>
      </c>
      <c r="B53" s="11" t="n">
        <v>613290.13</v>
      </c>
      <c r="C53" s="12" t="n">
        <f aca="false">IF(B48=0,0,B53/B48)</f>
        <v>0.37807243120076</v>
      </c>
      <c r="D53" s="12" t="n">
        <f aca="false">IF('P&amp;L Statement'!$B$15=0,0,B53/'P&amp;L Statement'!$B$15)</f>
        <v>0.125750394957017</v>
      </c>
    </row>
    <row r="54" customFormat="false" ht="15" hidden="false" customHeight="true" outlineLevel="0" collapsed="false">
      <c r="A54" s="10" t="s">
        <v>38</v>
      </c>
      <c r="B54" s="11" t="n">
        <v>9370</v>
      </c>
      <c r="C54" s="12" t="n">
        <f aca="false">IF(B15=0,0,B54/B15)</f>
        <v>0.00433674580305177</v>
      </c>
      <c r="D54" s="12" t="n">
        <f aca="false">IF('P&amp;L Statement'!$B$15=0,0,B54/'P&amp;L Statement'!$B$15)</f>
        <v>0.00192124598637719</v>
      </c>
    </row>
    <row r="55" customFormat="false" ht="15" hidden="false" customHeight="true" outlineLevel="0" collapsed="false">
      <c r="A55" s="10" t="s">
        <v>40</v>
      </c>
      <c r="B55" s="11" t="n">
        <v>3800</v>
      </c>
      <c r="C55" s="12" t="n">
        <f aca="false">IF(B15=0,0,B55/B15)</f>
        <v>0.00175876564051192</v>
      </c>
      <c r="D55" s="12" t="n">
        <f aca="false">IF('P&amp;L Statement'!$B$15=0,0,B55/'P&amp;L Statement'!$B$15)</f>
        <v>0.000779160592127357</v>
      </c>
    </row>
    <row r="56" customFormat="false" ht="15" hidden="false" customHeight="true" outlineLevel="0" collapsed="false">
      <c r="A56" s="10" t="s">
        <v>39</v>
      </c>
      <c r="B56" s="11" t="n">
        <v>5119</v>
      </c>
      <c r="C56" s="12" t="n">
        <f aca="false">IF(B15=0,0,B56/B15)</f>
        <v>0.00236924245099488</v>
      </c>
      <c r="D56" s="12" t="n">
        <f aca="false">IF('P&amp;L Statement'!$B$15=0,0,B56/'P&amp;L Statement'!$B$15)</f>
        <v>0.00104961133449998</v>
      </c>
    </row>
    <row r="58" customFormat="false" ht="15" hidden="false" customHeight="true" outlineLevel="0" collapsed="false">
      <c r="A58" s="33" t="s">
        <v>95</v>
      </c>
      <c r="B58" s="34" t="n">
        <f aca="false">B5+B8+B15</f>
        <v>4922824.89</v>
      </c>
      <c r="C58" s="35"/>
      <c r="D58" s="35"/>
      <c r="E58" s="3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17"/>
    <col collapsed="false" customWidth="true" hidden="false" outlineLevel="0" max="3" min="3" style="1" width="15"/>
    <col collapsed="false" customWidth="true" hidden="false" outlineLevel="0" max="4" min="4" style="1" width="24"/>
    <col collapsed="false" customWidth="true" hidden="false" outlineLevel="0" max="5" min="5" style="1" width="22"/>
    <col collapsed="false" customWidth="true" hidden="false" outlineLevel="0" max="6" min="6" style="1" width="26"/>
    <col collapsed="false" customWidth="true" hidden="false" outlineLevel="0" max="7" min="7" style="1" width="68"/>
  </cols>
  <sheetData>
    <row r="1" customFormat="false" ht="15.75" hidden="false" customHeight="true" outlineLevel="0" collapsed="false">
      <c r="A1" s="2" t="s">
        <v>96</v>
      </c>
    </row>
    <row r="2" customFormat="false" ht="15" hidden="false" customHeight="true" outlineLevel="0" collapsed="false">
      <c r="A2" s="3" t="s">
        <v>97</v>
      </c>
    </row>
    <row r="4" customFormat="false" ht="27.75" hidden="false" customHeight="true" outlineLevel="0" collapsed="false">
      <c r="A4" s="5" t="s">
        <v>98</v>
      </c>
      <c r="B4" s="6" t="s">
        <v>99</v>
      </c>
      <c r="C4" s="6" t="s">
        <v>5</v>
      </c>
      <c r="D4" s="6" t="s">
        <v>100</v>
      </c>
      <c r="E4" s="6" t="s">
        <v>101</v>
      </c>
      <c r="F4" s="6" t="s">
        <v>102</v>
      </c>
      <c r="G4" s="6" t="s">
        <v>103</v>
      </c>
    </row>
    <row r="5" customFormat="false" ht="15" hidden="false" customHeight="true" outlineLevel="0" collapsed="false">
      <c r="A5" s="10" t="s">
        <v>104</v>
      </c>
      <c r="B5" s="11" t="n">
        <v>1895500</v>
      </c>
      <c r="C5" s="12" t="n">
        <f aca="false">IF($B$11=0,0,B5/$B$11)</f>
        <v>0.360580614952918</v>
      </c>
      <c r="G5" s="4" t="s">
        <v>105</v>
      </c>
    </row>
    <row r="6" customFormat="false" ht="15" hidden="false" customHeight="true" outlineLevel="0" collapsed="false">
      <c r="A6" s="10" t="s">
        <v>106</v>
      </c>
      <c r="B6" s="11" t="n">
        <v>1316297.46</v>
      </c>
      <c r="C6" s="12" t="n">
        <f aca="false">IF($B$11=0,0,B6/$B$11)</f>
        <v>0.250399022731609</v>
      </c>
      <c r="D6" s="23" t="n">
        <f aca="false">'Expense Detail'!B49+'Expense Detail'!B32</f>
        <v>1052961.48</v>
      </c>
      <c r="E6" s="12" t="n">
        <f aca="false">IF(B6&lt;=0,"n/m",D6/B6)</f>
        <v>0.799941891553905</v>
      </c>
      <c r="F6" s="18" t="n">
        <f aca="false">B6-D6</f>
        <v>263335.98</v>
      </c>
      <c r="G6" s="4" t="s">
        <v>107</v>
      </c>
    </row>
    <row r="7" customFormat="false" ht="15" hidden="false" customHeight="true" outlineLevel="0" collapsed="false">
      <c r="A7" s="10" t="s">
        <v>108</v>
      </c>
      <c r="B7" s="11" t="n">
        <v>1196831.31</v>
      </c>
      <c r="C7" s="12" t="n">
        <f aca="false">IF($B$11=0,0,B7/$B$11)</f>
        <v>0.227672999079244</v>
      </c>
      <c r="D7" s="23" t="n">
        <f aca="false">'Expense Detail'!B53+'Expense Detail'!B20</f>
        <v>883021.26</v>
      </c>
      <c r="E7" s="12" t="n">
        <f aca="false">IF(B7&lt;=0,"n/m",D7/B7)</f>
        <v>0.737799264292309</v>
      </c>
      <c r="F7" s="18" t="n">
        <f aca="false">B7-D7</f>
        <v>313810.05</v>
      </c>
      <c r="G7" s="4" t="s">
        <v>109</v>
      </c>
    </row>
    <row r="8" customFormat="false" ht="15" hidden="false" customHeight="true" outlineLevel="0" collapsed="false">
      <c r="A8" s="10" t="s">
        <v>110</v>
      </c>
      <c r="B8" s="11" t="n">
        <v>471081.26</v>
      </c>
      <c r="C8" s="12" t="n">
        <f aca="false">IF($B$11=0,0,B8/$B$11)</f>
        <v>0.0896137010939571</v>
      </c>
      <c r="G8" s="4" t="s">
        <v>111</v>
      </c>
    </row>
    <row r="9" customFormat="false" ht="15" hidden="false" customHeight="true" outlineLevel="0" collapsed="false">
      <c r="A9" s="10" t="s">
        <v>112</v>
      </c>
      <c r="B9" s="11" t="n">
        <v>-2666.66</v>
      </c>
      <c r="C9" s="12" t="n">
        <f aca="false">IF($B$11=0,0,B9/$B$11)</f>
        <v>-0.000507278239340728</v>
      </c>
      <c r="D9" s="23" t="n">
        <f aca="false">'Expense Detail'!B31</f>
        <v>8223.93</v>
      </c>
      <c r="E9" s="12" t="str">
        <f aca="false">IF(B9&lt;=0,"n/m",D9/B9)</f>
        <v>n/m</v>
      </c>
      <c r="F9" s="18" t="n">
        <f aca="false">B9-D9</f>
        <v>-10890.59</v>
      </c>
      <c r="G9" s="4" t="s">
        <v>113</v>
      </c>
    </row>
    <row r="10" customFormat="false" ht="15" hidden="false" customHeight="true" outlineLevel="0" collapsed="false">
      <c r="A10" s="10" t="s">
        <v>114</v>
      </c>
      <c r="B10" s="11" t="n">
        <v>379756.14</v>
      </c>
      <c r="C10" s="12" t="n">
        <f aca="false">IF($B$11=0,0,B10/$B$11)</f>
        <v>0.0722409403816125</v>
      </c>
      <c r="G10" s="4" t="s">
        <v>115</v>
      </c>
    </row>
    <row r="11" customFormat="false" ht="15" hidden="false" customHeight="true" outlineLevel="0" collapsed="false">
      <c r="A11" s="14" t="s">
        <v>116</v>
      </c>
      <c r="B11" s="15" t="n">
        <f aca="false">SUM(B5:B10)</f>
        <v>5256799.51</v>
      </c>
      <c r="C11" s="17"/>
      <c r="D11" s="15" t="n">
        <f aca="false">SUM(D5:D10)</f>
        <v>1944206.67</v>
      </c>
      <c r="E11" s="17"/>
      <c r="F11" s="17"/>
      <c r="G11" s="17"/>
    </row>
    <row r="12" customFormat="false" ht="15" hidden="false" customHeight="true" outlineLevel="0" collapsed="false">
      <c r="A12" s="19" t="s">
        <v>117</v>
      </c>
      <c r="B12" s="20" t="n">
        <f aca="false">B11-B10</f>
        <v>4877043.37</v>
      </c>
      <c r="C12" s="22"/>
      <c r="D12" s="22"/>
      <c r="E12" s="22"/>
      <c r="F12" s="22"/>
      <c r="G12" s="2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2" min="2" style="1" width="20"/>
    <col collapsed="false" customWidth="true" hidden="false" outlineLevel="0" max="3" min="3" style="1" width="74"/>
  </cols>
  <sheetData>
    <row r="1" customFormat="false" ht="15.75" hidden="false" customHeight="true" outlineLevel="0" collapsed="false">
      <c r="A1" s="2" t="s">
        <v>118</v>
      </c>
    </row>
    <row r="3" customFormat="false" ht="27.75" hidden="false" customHeight="true" outlineLevel="0" collapsed="false">
      <c r="A3" s="5" t="s">
        <v>119</v>
      </c>
      <c r="B3" s="6" t="s">
        <v>120</v>
      </c>
      <c r="C3" s="6" t="s">
        <v>121</v>
      </c>
    </row>
    <row r="4" customFormat="false" ht="15" hidden="false" customHeight="true" outlineLevel="0" collapsed="false">
      <c r="A4" s="10" t="s">
        <v>122</v>
      </c>
      <c r="B4" s="29" t="n">
        <f aca="false">'P&amp;L Statement'!B13</f>
        <v>5256799.51</v>
      </c>
      <c r="C4" s="4" t="s">
        <v>123</v>
      </c>
    </row>
    <row r="5" customFormat="false" ht="15" hidden="false" customHeight="true" outlineLevel="0" collapsed="false">
      <c r="A5" s="10" t="s">
        <v>124</v>
      </c>
      <c r="B5" s="29" t="n">
        <f aca="false">'P&amp;L Statement'!B15</f>
        <v>4877043.37</v>
      </c>
      <c r="C5" s="4" t="s">
        <v>125</v>
      </c>
    </row>
    <row r="6" customFormat="false" ht="15" hidden="false" customHeight="true" outlineLevel="0" collapsed="false">
      <c r="A6" s="10" t="s">
        <v>126</v>
      </c>
      <c r="B6" s="29" t="n">
        <f aca="false">'P&amp;L Statement'!B23</f>
        <v>2494580.85</v>
      </c>
      <c r="C6" s="4" t="s">
        <v>127</v>
      </c>
    </row>
    <row r="7" customFormat="false" ht="15" hidden="false" customHeight="true" outlineLevel="0" collapsed="false">
      <c r="A7" s="10" t="s">
        <v>128</v>
      </c>
      <c r="B7" s="36" t="n">
        <f aca="false">'P&amp;L Statement'!B23/'P&amp;L Statement'!B13</f>
        <v>0.474543654414547</v>
      </c>
      <c r="C7" s="4"/>
    </row>
    <row r="8" customFormat="false" ht="15" hidden="false" customHeight="true" outlineLevel="0" collapsed="false">
      <c r="A8" s="10" t="s">
        <v>129</v>
      </c>
      <c r="B8" s="36" t="n">
        <f aca="false">'P&amp;L Statement'!B23/'P&amp;L Statement'!B15</f>
        <v>0.511494497946201</v>
      </c>
      <c r="C8" s="4"/>
    </row>
    <row r="9" customFormat="false" ht="15" hidden="false" customHeight="true" outlineLevel="0" collapsed="false">
      <c r="A9" s="10" t="s">
        <v>130</v>
      </c>
      <c r="B9" s="29" t="n">
        <f aca="false">'P&amp;L Statement'!B37</f>
        <v>2160606.23</v>
      </c>
      <c r="C9" s="4"/>
    </row>
    <row r="10" customFormat="false" ht="15" hidden="false" customHeight="true" outlineLevel="0" collapsed="false">
      <c r="A10" s="10" t="s">
        <v>131</v>
      </c>
      <c r="B10" s="36" t="n">
        <f aca="false">'P&amp;L Statement'!B37/'P&amp;L Statement'!B15</f>
        <v>0.443015586716015</v>
      </c>
      <c r="C10" s="4" t="s">
        <v>132</v>
      </c>
    </row>
    <row r="11" customFormat="false" ht="15" hidden="false" customHeight="true" outlineLevel="0" collapsed="false">
      <c r="A11" s="10" t="s">
        <v>133</v>
      </c>
      <c r="B11" s="29" t="n">
        <f aca="false">'P&amp;L Statement'!B39</f>
        <v>339196.15</v>
      </c>
      <c r="C11" s="4"/>
    </row>
    <row r="12" customFormat="false" ht="15" hidden="false" customHeight="true" outlineLevel="0" collapsed="false">
      <c r="A12" s="10" t="s">
        <v>134</v>
      </c>
      <c r="B12" s="36" t="n">
        <f aca="false">'P&amp;L Statement'!B39/'P&amp;L Statement'!B15</f>
        <v>0.0695495455477157</v>
      </c>
      <c r="C12" s="4"/>
    </row>
    <row r="14" customFormat="false" ht="15" hidden="false" customHeight="true" outlineLevel="0" collapsed="false">
      <c r="A14" s="10" t="s">
        <v>135</v>
      </c>
      <c r="B14" s="29" t="n">
        <f aca="false">'Expense Detail'!B48</f>
        <v>1622149.83</v>
      </c>
      <c r="C14" s="4" t="s">
        <v>136</v>
      </c>
    </row>
    <row r="15" customFormat="false" ht="15" hidden="false" customHeight="true" outlineLevel="0" collapsed="false">
      <c r="A15" s="10" t="s">
        <v>137</v>
      </c>
      <c r="B15" s="36" t="n">
        <f aca="false">'Expense Detail'!B48/'P&amp;L Statement'!B15</f>
        <v>0.332609268963708</v>
      </c>
      <c r="C15" s="4" t="s">
        <v>138</v>
      </c>
    </row>
    <row r="16" customFormat="false" ht="15" hidden="false" customHeight="true" outlineLevel="0" collapsed="false">
      <c r="A16" s="10" t="s">
        <v>139</v>
      </c>
      <c r="B16" s="29" t="n">
        <f aca="false">'Expense Detail'!B49</f>
        <v>1008859.7</v>
      </c>
      <c r="C16" s="4" t="s">
        <v>140</v>
      </c>
    </row>
    <row r="17" customFormat="false" ht="15" hidden="false" customHeight="true" outlineLevel="0" collapsed="false">
      <c r="A17" s="10" t="s">
        <v>141</v>
      </c>
      <c r="B17" s="36" t="n">
        <f aca="false">'Expense Detail'!B49/'Revenue Detail'!B6</f>
        <v>0.766437473791068</v>
      </c>
      <c r="C17" s="4" t="s">
        <v>142</v>
      </c>
    </row>
    <row r="18" customFormat="false" ht="15" hidden="false" customHeight="true" outlineLevel="0" collapsed="false">
      <c r="A18" s="10" t="s">
        <v>143</v>
      </c>
      <c r="B18" s="37" t="n">
        <f aca="false">'Revenue Detail'!B6/'Expense Detail'!B49</f>
        <v>1.30473787385897</v>
      </c>
      <c r="C18" s="4" t="s">
        <v>144</v>
      </c>
    </row>
    <row r="19" customFormat="false" ht="15" hidden="false" customHeight="true" outlineLevel="0" collapsed="false">
      <c r="A19" s="10" t="s">
        <v>145</v>
      </c>
      <c r="B19" s="29" t="n">
        <f aca="false">'Expense Detail'!B53</f>
        <v>613290.13</v>
      </c>
      <c r="C19" s="4"/>
    </row>
    <row r="20" customFormat="false" ht="15" hidden="false" customHeight="true" outlineLevel="0" collapsed="false">
      <c r="A20" s="10" t="s">
        <v>146</v>
      </c>
      <c r="B20" s="36" t="n">
        <f aca="false">'Expense Detail'!B53/'Revenue Detail'!B7</f>
        <v>0.512428213463099</v>
      </c>
      <c r="C20" s="4"/>
    </row>
    <row r="21" customFormat="false" ht="15" hidden="false" customHeight="true" outlineLevel="0" collapsed="false">
      <c r="A21" s="10" t="s">
        <v>147</v>
      </c>
      <c r="B21" s="37" t="n">
        <f aca="false">'Revenue Detail'!B7/'Expense Detail'!B53</f>
        <v>1.95149286032045</v>
      </c>
      <c r="C21" s="4"/>
    </row>
    <row r="23" customFormat="false" ht="15" hidden="false" customHeight="true" outlineLevel="0" collapsed="false">
      <c r="A23" s="10" t="s">
        <v>148</v>
      </c>
      <c r="B23" s="29" t="n">
        <f aca="false">'Expense Detail'!B19</f>
        <v>474617.87</v>
      </c>
      <c r="C23" s="4"/>
    </row>
    <row r="24" customFormat="false" ht="15" hidden="false" customHeight="true" outlineLevel="0" collapsed="false">
      <c r="A24" s="10" t="s">
        <v>149</v>
      </c>
      <c r="B24" s="36" t="n">
        <f aca="false">'Expense Detail'!B19/'P&amp;L Statement'!B15</f>
        <v>0.0973167212166908</v>
      </c>
      <c r="C24" s="4"/>
    </row>
    <row r="25" customFormat="false" ht="15" hidden="false" customHeight="true" outlineLevel="0" collapsed="false">
      <c r="A25" s="10" t="s">
        <v>150</v>
      </c>
      <c r="B25" s="36" t="n">
        <f aca="false">'Expense Detail'!B20/'Revenue Detail'!B7</f>
        <v>0.22537105082921</v>
      </c>
      <c r="C25" s="4" t="s">
        <v>151</v>
      </c>
    </row>
    <row r="26" customFormat="false" ht="15" hidden="false" customHeight="true" outlineLevel="0" collapsed="false">
      <c r="A26" s="10" t="s">
        <v>152</v>
      </c>
      <c r="B26" s="29" t="n">
        <f aca="false">'Expense Detail'!B40+'Expense Detail'!B36+'Expense Detail'!B37+'Expense Detail'!B38</f>
        <v>160937.68</v>
      </c>
      <c r="C26" s="4" t="s">
        <v>153</v>
      </c>
    </row>
    <row r="27" customFormat="false" ht="15" hidden="false" customHeight="true" outlineLevel="0" collapsed="false">
      <c r="A27" s="10" t="s">
        <v>154</v>
      </c>
      <c r="B27" s="36" t="n">
        <f aca="false">('Expense Detail'!B40+'Expense Detail'!B36+'Expense Detail'!B37+'Expense Detail'!B38)/'Revenue Detail'!B6</f>
        <v>0.122265433832866</v>
      </c>
      <c r="C27" s="4" t="s">
        <v>155</v>
      </c>
    </row>
    <row r="29" customFormat="false" ht="15" hidden="false" customHeight="true" outlineLevel="0" collapsed="false">
      <c r="A29" s="10" t="s">
        <v>156</v>
      </c>
      <c r="B29" s="36" t="n">
        <f aca="false">'Revenue Detail'!B5/'P&amp;L Statement'!B15</f>
        <v>0.388657605888791</v>
      </c>
      <c r="C29" s="4" t="s">
        <v>157</v>
      </c>
    </row>
    <row r="30" customFormat="false" ht="15" hidden="false" customHeight="true" outlineLevel="0" collapsed="false">
      <c r="A30" s="10" t="s">
        <v>158</v>
      </c>
      <c r="B30" s="36" t="n">
        <f aca="false">('Revenue Detail'!B6+'Revenue Detail'!B7)/'P&amp;L Statement'!B15</f>
        <v>0.515297605401446</v>
      </c>
      <c r="C30" s="4"/>
    </row>
    <row r="31" customFormat="false" ht="15" hidden="false" customHeight="true" outlineLevel="0" collapsed="false">
      <c r="A31" s="10" t="s">
        <v>159</v>
      </c>
      <c r="B31" s="29" t="n">
        <f aca="false">'Expense Detail'!B48+'Expense Detail'!B19</f>
        <v>2096767.7</v>
      </c>
      <c r="C31" s="4"/>
    </row>
    <row r="32" customFormat="false" ht="15" hidden="false" customHeight="true" outlineLevel="0" collapsed="false">
      <c r="A32" s="10" t="s">
        <v>160</v>
      </c>
      <c r="B32" s="36" t="n">
        <f aca="false">('Expense Detail'!B48+'Expense Detail'!B19)/('Revenue Detail'!B6+'Revenue Detail'!B7)</f>
        <v>0.834325612372024</v>
      </c>
      <c r="C32" s="4" t="s">
        <v>161</v>
      </c>
    </row>
    <row r="35" customFormat="false" ht="15.75" hidden="false" customHeight="true" outlineLevel="0" collapsed="false">
      <c r="A35" s="2" t="s">
        <v>162</v>
      </c>
    </row>
    <row r="37" customFormat="false" ht="15" hidden="false" customHeight="true" outlineLevel="0" collapsed="false">
      <c r="A37" s="28" t="s">
        <v>163</v>
      </c>
    </row>
    <row r="38" customFormat="false" ht="57.75" hidden="false" customHeight="true" outlineLevel="0" collapsed="false">
      <c r="A38" s="38" t="s">
        <v>164</v>
      </c>
      <c r="B38" s="38"/>
      <c r="C38" s="38"/>
    </row>
    <row r="40" customFormat="false" ht="15" hidden="false" customHeight="true" outlineLevel="0" collapsed="false">
      <c r="A40" s="28" t="s">
        <v>165</v>
      </c>
    </row>
    <row r="41" customFormat="false" ht="57.75" hidden="false" customHeight="true" outlineLevel="0" collapsed="false">
      <c r="A41" s="38" t="s">
        <v>166</v>
      </c>
      <c r="B41" s="38"/>
      <c r="C41" s="38"/>
    </row>
    <row r="43" customFormat="false" ht="15" hidden="false" customHeight="true" outlineLevel="0" collapsed="false">
      <c r="A43" s="28" t="s">
        <v>167</v>
      </c>
    </row>
    <row r="44" customFormat="false" ht="57.75" hidden="false" customHeight="true" outlineLevel="0" collapsed="false">
      <c r="A44" s="38" t="s">
        <v>168</v>
      </c>
      <c r="B44" s="38"/>
      <c r="C44" s="38"/>
    </row>
    <row r="46" customFormat="false" ht="15" hidden="false" customHeight="true" outlineLevel="0" collapsed="false">
      <c r="A46" s="28" t="s">
        <v>169</v>
      </c>
    </row>
    <row r="47" customFormat="false" ht="57.75" hidden="false" customHeight="true" outlineLevel="0" collapsed="false">
      <c r="A47" s="38" t="s">
        <v>170</v>
      </c>
      <c r="B47" s="38"/>
      <c r="C47" s="38"/>
    </row>
    <row r="49" customFormat="false" ht="15" hidden="false" customHeight="true" outlineLevel="0" collapsed="false">
      <c r="A49" s="28" t="s">
        <v>171</v>
      </c>
    </row>
    <row r="50" customFormat="false" ht="57.75" hidden="false" customHeight="true" outlineLevel="0" collapsed="false">
      <c r="A50" s="38" t="s">
        <v>172</v>
      </c>
      <c r="B50" s="38"/>
      <c r="C50" s="38"/>
    </row>
    <row r="52" customFormat="false" ht="15" hidden="false" customHeight="true" outlineLevel="0" collapsed="false">
      <c r="A52" s="28" t="s">
        <v>173</v>
      </c>
    </row>
    <row r="53" customFormat="false" ht="57.75" hidden="false" customHeight="true" outlineLevel="0" collapsed="false">
      <c r="A53" s="38" t="s">
        <v>174</v>
      </c>
      <c r="B53" s="38"/>
      <c r="C53" s="38"/>
    </row>
    <row r="55" customFormat="false" ht="15" hidden="false" customHeight="true" outlineLevel="0" collapsed="false">
      <c r="A55" s="28" t="s">
        <v>175</v>
      </c>
    </row>
    <row r="56" customFormat="false" ht="57.75" hidden="false" customHeight="true" outlineLevel="0" collapsed="false">
      <c r="A56" s="38" t="s">
        <v>176</v>
      </c>
      <c r="B56" s="38"/>
      <c r="C56" s="38"/>
    </row>
    <row r="58" customFormat="false" ht="15" hidden="false" customHeight="true" outlineLevel="0" collapsed="false">
      <c r="A58" s="28" t="s">
        <v>177</v>
      </c>
    </row>
    <row r="59" customFormat="false" ht="57.75" hidden="false" customHeight="true" outlineLevel="0" collapsed="false">
      <c r="A59" s="38" t="s">
        <v>178</v>
      </c>
      <c r="B59" s="38"/>
      <c r="C59" s="38"/>
    </row>
    <row r="61" customFormat="false" ht="15" hidden="false" customHeight="true" outlineLevel="0" collapsed="false">
      <c r="A61" s="28" t="s">
        <v>179</v>
      </c>
    </row>
    <row r="62" customFormat="false" ht="57.75" hidden="false" customHeight="true" outlineLevel="0" collapsed="false">
      <c r="A62" s="38" t="s">
        <v>180</v>
      </c>
      <c r="B62" s="38"/>
      <c r="C62" s="38"/>
    </row>
  </sheetData>
  <mergeCells count="9">
    <mergeCell ref="A38:C38"/>
    <mergeCell ref="A41:C41"/>
    <mergeCell ref="A44:C44"/>
    <mergeCell ref="A47:C47"/>
    <mergeCell ref="A50:C50"/>
    <mergeCell ref="A53:C53"/>
    <mergeCell ref="A56:C56"/>
    <mergeCell ref="A59:C59"/>
    <mergeCell ref="A62:C6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2026-08-31T05:07:36Z</dcterms:created>
  <dc:creator>openpyxl</dc:creator>
  <dc:description/>
  <dc:language>en-US</dc:language>
  <cp:lastModifiedBy/>
  <dcterms:modified xsi:type="dcterms:W3CDTF">2026-08-31T05:07:59Z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