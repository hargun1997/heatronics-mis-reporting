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Combined View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Y 2026-27" sheetId="3" state="visible" r:id="rId3"/>
    <sheet xmlns:r="http://schemas.openxmlformats.org/officeDocument/2006/relationships" name="FY 2025-26" sheetId="4" state="visible" r:id="rId4"/>
    <sheet xmlns:r="http://schemas.openxmlformats.org/officeDocument/2006/relationships" name="FY 2024-25" sheetId="5" state="visible" r:id="rId5"/>
    <sheet xmlns:r="http://schemas.openxmlformats.org/officeDocument/2006/relationships" name="FY 2023-24" sheetId="6" state="visible" r:id="rId6"/>
    <sheet xmlns:r="http://schemas.openxmlformats.org/officeDocument/2006/relationships" name="May 2026" sheetId="7" state="visible" r:id="rId7"/>
    <sheet xmlns:r="http://schemas.openxmlformats.org/officeDocument/2006/relationships" name="Apr 2026" sheetId="8" state="visible" r:id="rId8"/>
    <sheet xmlns:r="http://schemas.openxmlformats.org/officeDocument/2006/relationships" name="Mar 2026" sheetId="9" state="visible" r:id="rId9"/>
    <sheet xmlns:r="http://schemas.openxmlformats.org/officeDocument/2006/relationships" name="Feb 2026" sheetId="10" state="visible" r:id="rId10"/>
    <sheet xmlns:r="http://schemas.openxmlformats.org/officeDocument/2006/relationships" name="Jan 2026" sheetId="11" state="visible" r:id="rId11"/>
    <sheet xmlns:r="http://schemas.openxmlformats.org/officeDocument/2006/relationships" name="Dec 2025" sheetId="12" state="visible" r:id="rId12"/>
    <sheet xmlns:r="http://schemas.openxmlformats.org/officeDocument/2006/relationships" name="Nov 2025" sheetId="13" state="visible" r:id="rId13"/>
    <sheet xmlns:r="http://schemas.openxmlformats.org/officeDocument/2006/relationships" name="Oct 2025" sheetId="14" state="visible" r:id="rId14"/>
    <sheet xmlns:r="http://schemas.openxmlformats.org/officeDocument/2006/relationships" name="Sep 2025" sheetId="15" state="visible" r:id="rId15"/>
    <sheet xmlns:r="http://schemas.openxmlformats.org/officeDocument/2006/relationships" name="Aug 2025" sheetId="16" state="visible" r:id="rId16"/>
    <sheet xmlns:r="http://schemas.openxmlformats.org/officeDocument/2006/relationships" name="Jul 2025" sheetId="17" state="visible" r:id="rId17"/>
    <sheet xmlns:r="http://schemas.openxmlformats.org/officeDocument/2006/relationships" name="Jun 2025" sheetId="18" state="visible" r:id="rId18"/>
    <sheet xmlns:r="http://schemas.openxmlformats.org/officeDocument/2006/relationships" name="May 2025" sheetId="19" state="visible" r:id="rId19"/>
    <sheet xmlns:r="http://schemas.openxmlformats.org/officeDocument/2006/relationships" name="Apr 2025" sheetId="20" state="visible" r:id="rId20"/>
    <sheet xmlns:r="http://schemas.openxmlformats.org/officeDocument/2006/relationships" name="Mar 2025" sheetId="21" state="visible" r:id="rId21"/>
    <sheet xmlns:r="http://schemas.openxmlformats.org/officeDocument/2006/relationships" name="Feb 2025" sheetId="22" state="visible" r:id="rId22"/>
    <sheet xmlns:r="http://schemas.openxmlformats.org/officeDocument/2006/relationships" name="Jan 2025" sheetId="23" state="visible" r:id="rId23"/>
    <sheet xmlns:r="http://schemas.openxmlformats.org/officeDocument/2006/relationships" name="Dec 2024" sheetId="24" state="visible" r:id="rId24"/>
    <sheet xmlns:r="http://schemas.openxmlformats.org/officeDocument/2006/relationships" name="Nov 2024" sheetId="25" state="visible" r:id="rId25"/>
    <sheet xmlns:r="http://schemas.openxmlformats.org/officeDocument/2006/relationships" name="Oct 2024" sheetId="26" state="visible" r:id="rId26"/>
    <sheet xmlns:r="http://schemas.openxmlformats.org/officeDocument/2006/relationships" name="Sep 2024" sheetId="27" state="visible" r:id="rId27"/>
    <sheet xmlns:r="http://schemas.openxmlformats.org/officeDocument/2006/relationships" name="Aug 2024" sheetId="28" state="visible" r:id="rId28"/>
    <sheet xmlns:r="http://schemas.openxmlformats.org/officeDocument/2006/relationships" name="Jul 2024" sheetId="29" state="visible" r:id="rId29"/>
    <sheet xmlns:r="http://schemas.openxmlformats.org/officeDocument/2006/relationships" name="Jun 2024" sheetId="30" state="visible" r:id="rId30"/>
    <sheet xmlns:r="http://schemas.openxmlformats.org/officeDocument/2006/relationships" name="May 2024" sheetId="31" state="visible" r:id="rId31"/>
    <sheet xmlns:r="http://schemas.openxmlformats.org/officeDocument/2006/relationships" name="Apr 2024" sheetId="32" state="visible" r:id="rId32"/>
    <sheet xmlns:r="http://schemas.openxmlformats.org/officeDocument/2006/relationships" name="Mar 2024" sheetId="33" state="visible" r:id="rId33"/>
    <sheet xmlns:r="http://schemas.openxmlformats.org/officeDocument/2006/relationships" name="Feb 2024" sheetId="34" state="visible" r:id="rId34"/>
    <sheet xmlns:r="http://schemas.openxmlformats.org/officeDocument/2006/relationships" name="Jan 2024" sheetId="35" state="visible" r:id="rId35"/>
    <sheet xmlns:r="http://schemas.openxmlformats.org/officeDocument/2006/relationships" name="Dec 2023" sheetId="36" state="visible" r:id="rId36"/>
    <sheet xmlns:r="http://schemas.openxmlformats.org/officeDocument/2006/relationships" name="Txn Dec 2025" sheetId="37" state="visible" r:id="rId37"/>
    <sheet xmlns:r="http://schemas.openxmlformats.org/officeDocument/2006/relationships" name="Txn Nov 2025" sheetId="38" state="visible" r:id="rId38"/>
    <sheet xmlns:r="http://schemas.openxmlformats.org/officeDocument/2006/relationships" name="Txn Oct 2025" sheetId="39" state="visible" r:id="rId39"/>
    <sheet xmlns:r="http://schemas.openxmlformats.org/officeDocument/2006/relationships" name="Txn Sep 2025" sheetId="40" state="visible" r:id="rId40"/>
    <sheet xmlns:r="http://schemas.openxmlformats.org/officeDocument/2006/relationships" name="Txn Aug 2025" sheetId="41" state="visible" r:id="rId41"/>
    <sheet xmlns:r="http://schemas.openxmlformats.org/officeDocument/2006/relationships" name="Txn Jul 2025" sheetId="42" state="visible" r:id="rId42"/>
    <sheet xmlns:r="http://schemas.openxmlformats.org/officeDocument/2006/relationships" name="Txn Jun 2025" sheetId="43" state="visible" r:id="rId43"/>
    <sheet xmlns:r="http://schemas.openxmlformats.org/officeDocument/2006/relationships" name="Txn May 2025" sheetId="44" state="visible" r:id="rId44"/>
    <sheet xmlns:r="http://schemas.openxmlformats.org/officeDocument/2006/relationships" name="Txn Apr 2025" sheetId="45" state="visible" r:id="rId45"/>
    <sheet xmlns:r="http://schemas.openxmlformats.org/officeDocument/2006/relationships" name="Txn Mar 2025" sheetId="46" state="visible" r:id="rId46"/>
    <sheet xmlns:r="http://schemas.openxmlformats.org/officeDocument/2006/relationships" name="Txn Feb 2025" sheetId="47" state="visible" r:id="rId47"/>
    <sheet xmlns:r="http://schemas.openxmlformats.org/officeDocument/2006/relationships" name="Txn Jan 2025" sheetId="48" state="visible" r:id="rId48"/>
    <sheet xmlns:r="http://schemas.openxmlformats.org/officeDocument/2006/relationships" name="Txn Dec 2024" sheetId="49" state="visible" r:id="rId49"/>
    <sheet xmlns:r="http://schemas.openxmlformats.org/officeDocument/2006/relationships" name="Txn Nov 2024" sheetId="50" state="visible" r:id="rId50"/>
    <sheet xmlns:r="http://schemas.openxmlformats.org/officeDocument/2006/relationships" name="Txn Oct 2024" sheetId="51" state="visible" r:id="rId51"/>
    <sheet xmlns:r="http://schemas.openxmlformats.org/officeDocument/2006/relationships" name="Txn Sep 2024" sheetId="52" state="visible" r:id="rId52"/>
    <sheet xmlns:r="http://schemas.openxmlformats.org/officeDocument/2006/relationships" name="Txn Aug 2024" sheetId="53" state="visible" r:id="rId53"/>
    <sheet xmlns:r="http://schemas.openxmlformats.org/officeDocument/2006/relationships" name="Txn Jul 2024" sheetId="54" state="visible" r:id="rId54"/>
    <sheet xmlns:r="http://schemas.openxmlformats.org/officeDocument/2006/relationships" name="Txn Jun 2024" sheetId="55" state="visible" r:id="rId55"/>
    <sheet xmlns:r="http://schemas.openxmlformats.org/officeDocument/2006/relationships" name="Txn May 2024" sheetId="56" state="visible" r:id="rId56"/>
    <sheet xmlns:r="http://schemas.openxmlformats.org/officeDocument/2006/relationships" name="Txn Apr 2024" sheetId="57" state="visible" r:id="rId57"/>
    <sheet xmlns:r="http://schemas.openxmlformats.org/officeDocument/2006/relationships" name="Txn Mar 2024" sheetId="58" state="visible" r:id="rId58"/>
    <sheet xmlns:r="http://schemas.openxmlformats.org/officeDocument/2006/relationships" name="Txn Feb 2024" sheetId="59" state="visible" r:id="rId59"/>
    <sheet xmlns:r="http://schemas.openxmlformats.org/officeDocument/2006/relationships" name="Txn Jan 2024" sheetId="60" state="visible" r:id="rId60"/>
    <sheet xmlns:r="http://schemas.openxmlformats.org/officeDocument/2006/relationships" name="Txn Dec 2023" sheetId="61" state="visible" r:id="rId61"/>
    <sheet xmlns:r="http://schemas.openxmlformats.org/officeDocument/2006/relationships" name="Notes (Jan-Mar 2026)" sheetId="62" state="visible" r:id="rId62"/>
  </sheets>
  <definedNames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55">
    <font>
      <name val="Calibri"/>
      <sz val="11"/>
    </font>
    <font>
      <name val="Calibri"/>
      <sz val="11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0"/>
    </font>
    <font>
      <name val="Calibri"/>
      <sz val="10"/>
    </font>
    <font>
      <name val="Calibri"/>
      <b val="1"/>
      <sz val="10"/>
    </font>
    <font>
      <name val="Calibri"/>
      <b val="1"/>
      <color rgb="00155724"/>
      <sz val="11"/>
    </font>
    <font>
      <name val="Calibri"/>
      <b val="1"/>
      <color rgb="00155724"/>
      <sz val="11"/>
    </font>
    <font>
      <name val="Calibri"/>
      <b val="1"/>
      <sz val="10"/>
    </font>
    <font>
      <name val="Calibri"/>
      <b val="1"/>
      <color rgb="00004085"/>
      <sz val="11"/>
    </font>
    <font>
      <name val="Calibri"/>
      <b val="1"/>
      <color rgb="00004085"/>
      <sz val="11"/>
    </font>
    <font>
      <name val="Calibri"/>
      <b val="1"/>
      <color rgb="004A148C"/>
      <sz val="11"/>
    </font>
    <font>
      <name val="Calibri"/>
      <b val="1"/>
      <color rgb="004A148C"/>
      <sz val="11"/>
    </font>
    <font>
      <name val="Calibri"/>
      <b val="1"/>
      <color rgb="00006064"/>
      <sz val="11"/>
    </font>
    <font>
      <name val="Calibri"/>
      <b val="1"/>
      <color rgb="00006064"/>
      <sz val="11"/>
    </font>
    <font>
      <name val="Calibri"/>
      <b val="1"/>
      <color rgb="00C62828"/>
      <sz val="11"/>
    </font>
    <font>
      <name val="Calibri"/>
      <b val="1"/>
      <color rgb="001B5E20"/>
      <sz val="12"/>
    </font>
    <font>
      <name val="Calibri"/>
      <b val="1"/>
      <color rgb="001B5E20"/>
      <sz val="12"/>
    </font>
    <font>
      <name val="Calibri"/>
      <b val="1"/>
      <color rgb="00C62828"/>
      <sz val="12"/>
    </font>
    <font>
      <name val="Calibri"/>
      <i val="1"/>
      <color rgb="000066CC"/>
      <sz val="10"/>
    </font>
    <font>
      <name val="Calibri"/>
      <b val="1"/>
      <color rgb="00C62828"/>
      <sz val="11"/>
    </font>
    <font>
      <name val="Calibri"/>
      <b val="1"/>
      <color rgb="00FFFFFF"/>
      <sz val="11"/>
    </font>
    <font>
      <name val="Calibri"/>
      <color rgb="00C62828"/>
      <sz val="10"/>
    </font>
    <font>
      <name val="Calibri"/>
      <b val="1"/>
      <color rgb="00E65100"/>
      <sz val="11"/>
    </font>
    <font>
      <name val="Calibri"/>
      <b val="1"/>
      <color rgb="00E65100"/>
      <sz val="11"/>
    </font>
    <font>
      <name val="Calibri"/>
      <b val="1"/>
      <color rgb="00C62828"/>
      <sz val="11"/>
    </font>
    <font>
      <name val="Calibri"/>
      <sz val="10"/>
    </font>
    <font>
      <name val="Calibri"/>
      <b val="1"/>
      <sz val="10"/>
    </font>
    <font>
      <name val="Calibri"/>
      <b val="1"/>
      <sz val="10"/>
    </font>
    <font>
      <name val="Calibri"/>
      <b val="1"/>
      <color rgb="00155724"/>
      <sz val="12"/>
    </font>
    <font>
      <name val="Calibri"/>
      <b val="1"/>
      <color rgb="00155724"/>
      <sz val="12"/>
    </font>
    <font>
      <name val="Calibri"/>
      <color rgb="006C757D"/>
      <sz val="10"/>
    </font>
    <font>
      <name val="Calibri"/>
      <color rgb="006C757D"/>
      <sz val="10"/>
    </font>
    <font>
      <name val="Calibri"/>
      <b val="1"/>
      <color rgb="00C62828"/>
      <sz val="12"/>
    </font>
    <font>
      <name val="Calibri"/>
      <b val="1"/>
      <color rgb="00FFFFFF"/>
      <sz val="11"/>
    </font>
    <font>
      <name val="Calibri"/>
      <b val="1"/>
      <color rgb="006C757D"/>
      <sz val="10"/>
    </font>
    <font>
      <name val="Calibri"/>
      <sz val="10"/>
    </font>
    <font>
      <b val="1"/>
      <sz val="14"/>
    </font>
    <font>
      <i val="1"/>
      <color rgb="00666666"/>
      <sz val="9"/>
    </font>
    <font>
      <b val="1"/>
    </font>
    <font>
      <i val="1"/>
      <color rgb="00666666"/>
    </font>
    <font>
      <name val="Courier New"/>
      <sz val="10"/>
    </font>
    <font/>
    <font>
      <b val="1"/>
      <color rgb="00FFFFFF"/>
    </font>
    <font>
      <b val="1"/>
      <color rgb="00006100"/>
    </font>
    <font>
      <color rgb="00C00000"/>
    </font>
    <font>
      <b val="1"/>
      <sz val="13"/>
    </font>
    <font>
      <b val="1"/>
      <color rgb="001F3864"/>
      <sz val="18"/>
    </font>
    <font>
      <b val="1"/>
      <color rgb="001F3864"/>
      <sz val="13"/>
    </font>
    <font>
      <b val="1"/>
      <color rgb="00FFFFFF"/>
      <sz val="10"/>
    </font>
    <font>
      <b val="1"/>
      <color rgb="001F3864"/>
    </font>
    <font>
      <i val="1"/>
      <color rgb="00888888"/>
    </font>
    <font>
      <b val="1"/>
      <color rgb="001F3864"/>
      <sz val="14"/>
    </font>
  </fonts>
  <fills count="38">
    <fill>
      <patternFill/>
    </fill>
    <fill>
      <patternFill patternType="gray125"/>
    </fill>
    <fill>
      <patternFill patternType="solid">
        <fgColor rgb="FF1E3A5F"/>
      </patternFill>
    </fill>
    <fill>
      <patternFill patternType="solid">
        <fgColor rgb="FF2C5282"/>
      </patternFill>
    </fill>
    <fill>
      <patternFill patternType="solid">
        <fgColor rgb="FF1E3A5F"/>
      </patternFill>
    </fill>
    <fill>
      <patternFill patternType="solid">
        <fgColor rgb="FFD4EDDA"/>
      </patternFill>
    </fill>
    <fill>
      <patternFill patternType="solid">
        <fgColor rgb="FFD4EDDA"/>
      </patternFill>
    </fill>
    <fill>
      <patternFill patternType="solid">
        <fgColor rgb="FFD4EDDA"/>
      </patternFill>
    </fill>
    <fill>
      <patternFill patternType="solid">
        <fgColor rgb="FFCCE5FF"/>
      </patternFill>
    </fill>
    <fill>
      <patternFill patternType="solid">
        <fgColor rgb="FFCCE5FF"/>
      </patternFill>
    </fill>
    <fill>
      <patternFill patternType="solid">
        <fgColor rgb="FFE2D6F8"/>
      </patternFill>
    </fill>
    <fill>
      <patternFill patternType="solid">
        <fgColor rgb="FFE2D6F8"/>
      </patternFill>
    </fill>
    <fill>
      <patternFill patternType="solid">
        <fgColor rgb="FFB2EBF2"/>
      </patternFill>
    </fill>
    <fill>
      <patternFill patternType="solid">
        <fgColor rgb="FFB2EBF2"/>
      </patternFill>
    </fill>
    <fill>
      <patternFill patternType="solid">
        <fgColor rgb="FFB2EBF2"/>
      </patternFill>
    </fill>
    <fill>
      <patternFill patternType="solid">
        <fgColor rgb="FFC8E6C9"/>
      </patternFill>
    </fill>
    <fill>
      <patternFill patternType="solid">
        <fgColor rgb="FFC8E6C9"/>
      </patternFill>
    </fill>
    <fill>
      <patternFill patternType="solid">
        <fgColor rgb="FFC8E6C9"/>
      </patternFill>
    </fill>
    <fill>
      <patternFill patternType="solid">
        <fgColor rgb="FFE3F2FD"/>
      </patternFill>
    </fill>
    <fill>
      <patternFill patternType="solid">
        <fgColor rgb="FFE2D6F8"/>
      </patternFill>
    </fill>
    <fill>
      <patternFill patternType="solid">
        <fgColor rgb="FF2C5282"/>
      </patternFill>
    </fill>
    <fill>
      <patternFill patternType="solid">
        <fgColor rgb="FFFFEBEE"/>
      </patternFill>
    </fill>
    <fill>
      <patternFill patternType="solid">
        <fgColor rgb="FFFFE5B4"/>
      </patternFill>
    </fill>
    <fill>
      <patternFill patternType="solid">
        <fgColor rgb="FFFFE5B4"/>
      </patternFill>
    </fill>
    <fill>
      <patternFill patternType="solid">
        <fgColor rgb="FFFFE5B4"/>
      </patternFill>
    </fill>
    <fill>
      <patternFill patternType="solid">
        <fgColor rgb="FFE9ECEF"/>
      </patternFill>
    </fill>
    <fill>
      <patternFill patternType="solid">
        <fgColor rgb="FFE9ECEF"/>
      </patternFill>
    </fill>
    <fill>
      <patternFill patternType="solid">
        <fgColor rgb="FFD4EDDA"/>
      </patternFill>
    </fill>
    <fill>
      <patternFill patternType="solid">
        <fgColor rgb="FFD4EDDA"/>
      </patternFill>
    </fill>
    <fill>
      <patternFill patternType="solid">
        <fgColor rgb="FFC8E6C9"/>
      </patternFill>
    </fill>
    <fill>
      <patternFill patternType="solid">
        <fgColor rgb="FF2C5282"/>
      </patternFill>
    </fill>
    <fill>
      <patternFill patternType="solid">
        <fgColor rgb="00DDEBF7"/>
      </patternFill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1F3864"/>
      </patternFill>
    </fill>
    <fill>
      <patternFill patternType="solid">
        <fgColor rgb="00F2F5FA"/>
      </patternFill>
    </fill>
  </fills>
  <borders count="3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001E3A5F"/>
      </bottom>
      <diagonal/>
    </border>
    <border>
      <left/>
      <right/>
      <top/>
      <bottom style="thin">
        <color rgb="00DEE2E6"/>
      </bottom>
      <diagonal/>
    </border>
    <border>
      <left/>
      <right/>
      <top/>
      <bottom style="thin">
        <color rgb="00DEE2E6"/>
      </bottom>
      <diagonal/>
    </border>
    <border>
      <left/>
      <right/>
      <top style="thin">
        <color rgb="00DEE2E6"/>
      </top>
      <bottom style="medium">
        <color rgb="00DEE2E6"/>
      </bottom>
      <diagonal/>
    </border>
    <border>
      <left/>
      <right/>
      <top style="medium">
        <color rgb="00155724"/>
      </top>
      <bottom style="medium">
        <color rgb="00155724"/>
      </bottom>
      <diagonal/>
    </border>
    <border>
      <left/>
      <right/>
      <top style="medium">
        <color rgb="00155724"/>
      </top>
      <bottom style="medium">
        <color rgb="00155724"/>
      </bottom>
      <diagonal/>
    </border>
    <border>
      <left/>
      <right/>
      <top style="thin">
        <color rgb="00DEE2E6"/>
      </top>
      <bottom style="medium">
        <color rgb="00DEE2E6"/>
      </bottom>
      <diagonal/>
    </border>
    <border>
      <left/>
      <right/>
      <top style="medium">
        <color rgb="00004085"/>
      </top>
      <bottom style="medium">
        <color rgb="00004085"/>
      </bottom>
      <diagonal/>
    </border>
    <border>
      <left/>
      <right/>
      <top style="medium">
        <color rgb="00004085"/>
      </top>
      <bottom style="medium">
        <color rgb="00004085"/>
      </bottom>
      <diagonal/>
    </border>
    <border>
      <left/>
      <right/>
      <top style="medium">
        <color rgb="004A148C"/>
      </top>
      <bottom style="medium">
        <color rgb="004A148C"/>
      </bottom>
      <diagonal/>
    </border>
    <border>
      <left/>
      <right/>
      <top style="medium">
        <color rgb="004A148C"/>
      </top>
      <bottom style="medium">
        <color rgb="004A148C"/>
      </bottom>
      <diagonal/>
    </border>
    <border>
      <left/>
      <right/>
      <top style="medium">
        <color rgb="00006064"/>
      </top>
      <bottom style="medium">
        <color rgb="00006064"/>
      </bottom>
      <diagonal/>
    </border>
    <border>
      <left/>
      <right/>
      <top style="medium">
        <color rgb="00006064"/>
      </top>
      <bottom style="medium">
        <color rgb="00006064"/>
      </bottom>
      <diagonal/>
    </border>
    <border>
      <left/>
      <right/>
      <top style="medium">
        <color rgb="00006064"/>
      </top>
      <bottom style="medium">
        <color rgb="00006064"/>
      </bottom>
      <diagonal/>
    </border>
    <border>
      <left/>
      <right/>
      <top style="double">
        <color rgb="001B5E20"/>
      </top>
      <bottom style="double">
        <color rgb="001B5E20"/>
      </bottom>
      <diagonal/>
    </border>
    <border>
      <left/>
      <right/>
      <top style="double">
        <color rgb="001B5E20"/>
      </top>
      <bottom style="double">
        <color rgb="001B5E20"/>
      </bottom>
      <diagonal/>
    </border>
    <border>
      <left/>
      <right/>
      <top style="double">
        <color rgb="001B5E20"/>
      </top>
      <bottom style="double">
        <color rgb="001B5E20"/>
      </bottom>
      <diagonal/>
    </border>
    <border>
      <left/>
      <right/>
      <top style="medium">
        <color rgb="004A148C"/>
      </top>
      <bottom style="medium">
        <color rgb="004A148C"/>
      </bottom>
      <diagonal/>
    </border>
    <border>
      <left/>
      <right/>
      <top style="medium">
        <color rgb="00E65100"/>
      </top>
      <bottom style="medium">
        <color rgb="00E65100"/>
      </bottom>
      <diagonal/>
    </border>
    <border>
      <left/>
      <right/>
      <top style="medium">
        <color rgb="00E65100"/>
      </top>
      <bottom style="medium">
        <color rgb="00E65100"/>
      </bottom>
      <diagonal/>
    </border>
    <border>
      <left/>
      <right/>
      <top style="medium">
        <color rgb="00E65100"/>
      </top>
      <bottom style="medium">
        <color rgb="00E65100"/>
      </bottom>
      <diagonal/>
    </border>
    <border>
      <left/>
      <right/>
      <top/>
      <bottom style="thin">
        <color rgb="00DEE2E6"/>
      </bottom>
      <diagonal/>
    </border>
    <border>
      <left/>
      <right/>
      <top style="thin">
        <color rgb="00DEE2E6"/>
      </top>
      <bottom style="medium">
        <color rgb="00DEE2E6"/>
      </bottom>
      <diagonal/>
    </border>
    <border>
      <left/>
      <right/>
      <top style="thin">
        <color rgb="00DEE2E6"/>
      </top>
      <bottom style="medium">
        <color rgb="00DEE2E6"/>
      </bottom>
      <diagonal/>
    </border>
    <border>
      <left/>
      <right/>
      <top style="medium">
        <color rgb="00155724"/>
      </top>
      <bottom style="medium">
        <color rgb="00155724"/>
      </bottom>
      <diagonal/>
    </border>
    <border>
      <left/>
      <right/>
      <top style="medium">
        <color rgb="00155724"/>
      </top>
      <bottom style="medium">
        <color rgb="00155724"/>
      </bottom>
      <diagonal/>
    </border>
    <border>
      <left/>
      <right/>
      <top/>
      <bottom style="thin">
        <color rgb="00DEE2E6"/>
      </bottom>
      <diagonal/>
    </border>
    <border>
      <left/>
      <right/>
      <top/>
      <bottom style="thin">
        <color rgb="00DEE2E6"/>
      </bottom>
      <diagonal/>
    </border>
    <border>
      <left/>
      <right/>
      <top style="double">
        <color rgb="001B5E20"/>
      </top>
      <bottom style="double">
        <color rgb="001B5E20"/>
      </bottom>
      <diagonal/>
    </border>
    <border>
      <left/>
      <right/>
      <top/>
      <bottom style="thin">
        <color rgb="00DEE2E6"/>
      </bottom>
      <diagonal/>
    </border>
    <border>
      <left/>
      <right/>
      <top/>
      <bottom style="thin">
        <color rgb="00DEE2E6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thin">
        <color rgb="00D9D9D9"/>
      </bottom>
    </border>
  </borders>
  <cellStyleXfs count="1">
    <xf numFmtId="0" fontId="1" fillId="0" borderId="1"/>
  </cellStyleXfs>
  <cellXfs count="193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0" fontId="6" fillId="0" borderId="4" applyAlignment="1" pivotButton="0" quotePrefix="0" xfId="0">
      <alignment horizontal="right"/>
    </xf>
    <xf numFmtId="4" fontId="7" fillId="0" borderId="5" applyAlignment="1" pivotButton="0" quotePrefix="0" xfId="0">
      <alignment horizontal="right" vertical="center"/>
    </xf>
    <xf numFmtId="0" fontId="8" fillId="5" borderId="6" applyAlignment="1" pivotButton="0" quotePrefix="0" xfId="0">
      <alignment horizontal="left" vertical="center"/>
    </xf>
    <xf numFmtId="0" fontId="9" fillId="6" borderId="7" applyAlignment="1" pivotButton="0" quotePrefix="0" xfId="0">
      <alignment horizontal="right"/>
    </xf>
    <xf numFmtId="4" fontId="10" fillId="7" borderId="8" applyAlignment="1" pivotButton="0" quotePrefix="0" xfId="0">
      <alignment horizontal="right" vertical="center"/>
    </xf>
    <xf numFmtId="0" fontId="11" fillId="8" borderId="9" applyAlignment="1" pivotButton="0" quotePrefix="0" xfId="0">
      <alignment horizontal="left" vertical="center"/>
    </xf>
    <xf numFmtId="0" fontId="12" fillId="9" borderId="10" applyAlignment="1" pivotButton="0" quotePrefix="0" xfId="0">
      <alignment horizontal="right"/>
    </xf>
    <xf numFmtId="0" fontId="13" fillId="10" borderId="11" applyAlignment="1" pivotButton="0" quotePrefix="0" xfId="0">
      <alignment horizontal="left" vertical="center"/>
    </xf>
    <xf numFmtId="0" fontId="14" fillId="11" borderId="12" applyAlignment="1" pivotButton="0" quotePrefix="0" xfId="0">
      <alignment horizontal="right"/>
    </xf>
    <xf numFmtId="0" fontId="15" fillId="12" borderId="13" applyAlignment="1" pivotButton="0" quotePrefix="0" xfId="0">
      <alignment horizontal="left" vertical="center"/>
    </xf>
    <xf numFmtId="0" fontId="16" fillId="13" borderId="14" applyAlignment="1" pivotButton="0" quotePrefix="0" xfId="0">
      <alignment horizontal="right"/>
    </xf>
    <xf numFmtId="0" fontId="17" fillId="14" borderId="15" applyAlignment="1" pivotButton="0" quotePrefix="0" xfId="0">
      <alignment horizontal="right"/>
    </xf>
    <xf numFmtId="0" fontId="18" fillId="15" borderId="16" applyAlignment="1" pivotButton="0" quotePrefix="0" xfId="0">
      <alignment horizontal="left" vertical="center"/>
    </xf>
    <xf numFmtId="0" fontId="19" fillId="16" borderId="17" applyAlignment="1" pivotButton="0" quotePrefix="0" xfId="0">
      <alignment horizontal="right"/>
    </xf>
    <xf numFmtId="0" fontId="20" fillId="17" borderId="18" applyAlignment="1" pivotButton="0" quotePrefix="0" xfId="0">
      <alignment horizontal="right"/>
    </xf>
    <xf numFmtId="0" fontId="21" fillId="18" borderId="0" applyAlignment="1" pivotButton="0" quotePrefix="0" xfId="0">
      <alignment horizontal="left" vertical="center"/>
    </xf>
    <xf numFmtId="0" fontId="22" fillId="19" borderId="19" applyAlignment="1" pivotButton="0" quotePrefix="0" xfId="0">
      <alignment horizontal="right"/>
    </xf>
    <xf numFmtId="0" fontId="23" fillId="20" borderId="0" applyAlignment="1" pivotButton="0" quotePrefix="0" xfId="0">
      <alignment horizontal="left" vertical="center"/>
    </xf>
    <xf numFmtId="4" fontId="24" fillId="21" borderId="0" applyAlignment="1" pivotButton="0" quotePrefix="0" xfId="0">
      <alignment horizontal="right" vertical="center"/>
    </xf>
    <xf numFmtId="0" fontId="25" fillId="22" borderId="20" applyAlignment="1" pivotButton="0" quotePrefix="0" xfId="0">
      <alignment horizontal="left" vertical="center"/>
    </xf>
    <xf numFmtId="0" fontId="26" fillId="23" borderId="21" applyAlignment="1" pivotButton="0" quotePrefix="0" xfId="0">
      <alignment horizontal="right"/>
    </xf>
    <xf numFmtId="0" fontId="27" fillId="24" borderId="22" applyAlignment="1" pivotButton="0" quotePrefix="0" xfId="0">
      <alignment horizontal="right"/>
    </xf>
    <xf numFmtId="0" fontId="28" fillId="0" borderId="23" applyAlignment="1" pivotButton="0" quotePrefix="0" xfId="0">
      <alignment horizontal="center"/>
    </xf>
    <xf numFmtId="0" fontId="29" fillId="25" borderId="24" applyAlignment="1" pivotButton="0" quotePrefix="0" xfId="0">
      <alignment horizontal="left" vertical="center"/>
    </xf>
    <xf numFmtId="0" fontId="30" fillId="26" borderId="25" applyAlignment="1" pivotButton="0" quotePrefix="0" xfId="0">
      <alignment horizontal="right"/>
    </xf>
    <xf numFmtId="0" fontId="31" fillId="27" borderId="26" applyAlignment="1" pivotButton="0" quotePrefix="0" xfId="0">
      <alignment horizontal="left" vertical="center"/>
    </xf>
    <xf numFmtId="0" fontId="32" fillId="28" borderId="27" applyAlignment="1" pivotButton="0" quotePrefix="0" xfId="0">
      <alignment horizontal="right"/>
    </xf>
    <xf numFmtId="0" fontId="33" fillId="0" borderId="28" applyAlignment="1" pivotButton="0" quotePrefix="0" xfId="0">
      <alignment horizontal="left" vertical="center"/>
    </xf>
    <xf numFmtId="0" fontId="34" fillId="0" borderId="29" applyAlignment="1" pivotButton="0" quotePrefix="0" xfId="0">
      <alignment horizontal="right"/>
    </xf>
    <xf numFmtId="0" fontId="35" fillId="29" borderId="30" applyAlignment="1" pivotButton="0" quotePrefix="0" xfId="0">
      <alignment horizontal="left" vertical="center"/>
    </xf>
    <xf numFmtId="0" fontId="36" fillId="30" borderId="0" applyAlignment="1" pivotButton="0" quotePrefix="0" xfId="0">
      <alignment horizontal="right"/>
    </xf>
    <xf numFmtId="0" fontId="37" fillId="0" borderId="31" applyAlignment="1" pivotButton="0" quotePrefix="0" xfId="0">
      <alignment horizontal="left" vertical="center"/>
    </xf>
    <xf numFmtId="4" fontId="38" fillId="0" borderId="32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1" fillId="18" borderId="1" applyAlignment="1" pivotButton="0" quotePrefix="0" xfId="0">
      <alignment horizontal="left" vertical="center"/>
    </xf>
    <xf numFmtId="0" fontId="41" fillId="0" borderId="0" pivotButton="0" quotePrefix="0" xfId="0"/>
    <xf numFmtId="0" fontId="39" fillId="0" borderId="0" pivotButton="0" quotePrefix="0" xfId="0"/>
    <xf numFmtId="0" fontId="40" fillId="0" borderId="0" pivotButton="0" quotePrefix="0" xfId="0"/>
    <xf numFmtId="0" fontId="41" fillId="31" borderId="0" pivotButton="0" quotePrefix="0" xfId="0"/>
    <xf numFmtId="4" fontId="0" fillId="0" borderId="0" pivotButton="0" quotePrefix="0" xfId="0"/>
    <xf numFmtId="10" fontId="0" fillId="0" borderId="0" pivotButton="0" quotePrefix="0" xfId="0"/>
    <xf numFmtId="4" fontId="41" fillId="0" borderId="0" pivotButton="0" quotePrefix="0" xfId="0"/>
    <xf numFmtId="0" fontId="28" fillId="0" borderId="32" applyAlignment="1" pivotButton="0" quotePrefix="0" xfId="0">
      <alignment horizontal="center"/>
    </xf>
    <xf numFmtId="0" fontId="0" fillId="0" borderId="32" pivotButton="0" quotePrefix="0" xfId="0"/>
    <xf numFmtId="0" fontId="42" fillId="0" borderId="0" pivotButton="0" quotePrefix="0" xfId="0"/>
    <xf numFmtId="0" fontId="43" fillId="0" borderId="0" pivotButton="0" quotePrefix="0" xfId="0"/>
    <xf numFmtId="0" fontId="45" fillId="32" borderId="0" pivotButton="0" quotePrefix="0" xfId="0"/>
    <xf numFmtId="3" fontId="0" fillId="0" borderId="0" pivotButton="0" quotePrefix="0" xfId="0"/>
    <xf numFmtId="0" fontId="41" fillId="35" borderId="0" pivotButton="0" quotePrefix="0" xfId="0"/>
    <xf numFmtId="3" fontId="41" fillId="35" borderId="0" pivotButton="0" quotePrefix="0" xfId="0"/>
    <xf numFmtId="0" fontId="48" fillId="0" borderId="0" pivotButton="0" quotePrefix="0" xfId="0"/>
    <xf numFmtId="0" fontId="45" fillId="32" borderId="0" applyAlignment="1" pivotButton="0" quotePrefix="0" xfId="0">
      <alignment vertical="center" wrapText="1"/>
    </xf>
    <xf numFmtId="2" fontId="0" fillId="0" borderId="0" pivotButton="0" quotePrefix="0" xfId="0"/>
    <xf numFmtId="0" fontId="39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0" fontId="44" fillId="0" borderId="1" applyAlignment="1" pivotButton="0" quotePrefix="0" xfId="0">
      <alignment horizontal="center"/>
    </xf>
    <xf numFmtId="0" fontId="44" fillId="0" borderId="0" pivotButton="0" quotePrefix="0" xfId="0"/>
    <xf numFmtId="0" fontId="44" fillId="0" borderId="0" applyAlignment="1" pivotButton="0" quotePrefix="0" xfId="0">
      <alignment horizontal="right"/>
    </xf>
    <xf numFmtId="0" fontId="41" fillId="0" borderId="0" applyAlignment="1" pivotButton="0" quotePrefix="0" xfId="0">
      <alignment horizontal="right"/>
    </xf>
    <xf numFmtId="0" fontId="44" fillId="32" borderId="0" applyAlignment="1" pivotButton="0" quotePrefix="0" xfId="0">
      <alignment horizontal="right"/>
    </xf>
    <xf numFmtId="4" fontId="44" fillId="0" borderId="0" applyAlignment="1" pivotButton="0" quotePrefix="0" xfId="0">
      <alignment horizontal="right"/>
    </xf>
    <xf numFmtId="10" fontId="44" fillId="0" borderId="0" applyAlignment="1" pivotButton="0" quotePrefix="0" xfId="0">
      <alignment horizontal="right"/>
    </xf>
    <xf numFmtId="0" fontId="41" fillId="33" borderId="0" pivotButton="0" quotePrefix="0" xfId="0"/>
    <xf numFmtId="4" fontId="41" fillId="33" borderId="0" applyAlignment="1" pivotButton="0" quotePrefix="0" xfId="0">
      <alignment horizontal="right"/>
    </xf>
    <xf numFmtId="0" fontId="41" fillId="33" borderId="0" applyAlignment="1" pivotButton="0" quotePrefix="0" xfId="0">
      <alignment horizontal="right"/>
    </xf>
    <xf numFmtId="4" fontId="47" fillId="0" borderId="0" applyAlignment="1" pivotButton="0" quotePrefix="0" xfId="0">
      <alignment horizontal="right"/>
    </xf>
    <xf numFmtId="10" fontId="41" fillId="33" borderId="0" applyAlignment="1" pivotButton="0" quotePrefix="0" xfId="0">
      <alignment horizontal="right"/>
    </xf>
    <xf numFmtId="0" fontId="46" fillId="34" borderId="0" pivotButton="0" quotePrefix="0" xfId="0"/>
    <xf numFmtId="4" fontId="46" fillId="34" borderId="0" applyAlignment="1" pivotButton="0" quotePrefix="0" xfId="0">
      <alignment horizontal="right"/>
    </xf>
    <xf numFmtId="10" fontId="46" fillId="34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10" fontId="0" fillId="0" borderId="0" applyAlignment="1" pivotButton="0" quotePrefix="0" xfId="0">
      <alignment horizontal="right"/>
    </xf>
    <xf numFmtId="0" fontId="0" fillId="32" borderId="0" applyAlignment="1" pivotButton="0" quotePrefix="0" xfId="0">
      <alignment horizontal="right"/>
    </xf>
    <xf numFmtId="0" fontId="44" fillId="0" borderId="32" applyAlignment="1" pivotButton="0" quotePrefix="0" xfId="0">
      <alignment horizontal="center"/>
    </xf>
    <xf numFmtId="0" fontId="0" fillId="0" borderId="32" applyAlignment="1" pivotButton="0" quotePrefix="0" xfId="0">
      <alignment horizontal="right"/>
    </xf>
    <xf numFmtId="0" fontId="44" fillId="0" borderId="1" applyAlignment="1" pivotButton="0" quotePrefix="0" xfId="0">
      <alignment horizontal="left" vertical="center"/>
    </xf>
    <xf numFmtId="0" fontId="41" fillId="0" borderId="2" applyAlignment="1" pivotButton="0" quotePrefix="0" xfId="0">
      <alignment horizontal="center" vertical="center"/>
    </xf>
    <xf numFmtId="0" fontId="41" fillId="0" borderId="2" applyAlignment="1" pivotButton="0" quotePrefix="0" xfId="0">
      <alignment horizontal="right"/>
    </xf>
    <xf numFmtId="0" fontId="45" fillId="32" borderId="0" applyAlignment="1" pivotButton="0" quotePrefix="0" xfId="0">
      <alignment horizontal="left" vertical="center"/>
    </xf>
    <xf numFmtId="0" fontId="44" fillId="0" borderId="3" applyAlignment="1" pivotButton="0" quotePrefix="0" xfId="0">
      <alignment horizontal="left" vertical="center"/>
    </xf>
    <xf numFmtId="4" fontId="44" fillId="0" borderId="4" applyAlignment="1" pivotButton="0" quotePrefix="0" xfId="0">
      <alignment horizontal="right"/>
    </xf>
    <xf numFmtId="10" fontId="44" fillId="0" borderId="4" applyAlignment="1" pivotButton="0" quotePrefix="0" xfId="0">
      <alignment horizontal="right"/>
    </xf>
    <xf numFmtId="0" fontId="44" fillId="0" borderId="24" applyAlignment="1" pivotButton="0" quotePrefix="0" xfId="0">
      <alignment horizontal="left" vertical="center"/>
    </xf>
    <xf numFmtId="4" fontId="44" fillId="0" borderId="25" applyAlignment="1" pivotButton="0" quotePrefix="0" xfId="0">
      <alignment horizontal="right"/>
    </xf>
    <xf numFmtId="10" fontId="44" fillId="0" borderId="25" applyAlignment="1" pivotButton="0" quotePrefix="0" xfId="0">
      <alignment horizontal="right"/>
    </xf>
    <xf numFmtId="0" fontId="44" fillId="0" borderId="0" applyAlignment="1" pivotButton="0" quotePrefix="0" xfId="0">
      <alignment horizontal="left" vertical="center"/>
    </xf>
    <xf numFmtId="0" fontId="45" fillId="32" borderId="3" applyAlignment="1" pivotButton="0" quotePrefix="0" xfId="0">
      <alignment horizontal="left" vertical="center"/>
    </xf>
    <xf numFmtId="0" fontId="44" fillId="32" borderId="4" applyAlignment="1" pivotButton="0" quotePrefix="0" xfId="0">
      <alignment horizontal="right"/>
    </xf>
    <xf numFmtId="0" fontId="41" fillId="33" borderId="0" applyAlignment="1" pivotButton="0" quotePrefix="0" xfId="0">
      <alignment horizontal="left" vertical="center"/>
    </xf>
    <xf numFmtId="0" fontId="44" fillId="0" borderId="25" applyAlignment="1" pivotButton="0" quotePrefix="0" xfId="0">
      <alignment horizontal="right"/>
    </xf>
    <xf numFmtId="0" fontId="41" fillId="33" borderId="26" applyAlignment="1" pivotButton="0" quotePrefix="0" xfId="0">
      <alignment horizontal="left" vertical="center"/>
    </xf>
    <xf numFmtId="4" fontId="41" fillId="33" borderId="27" applyAlignment="1" pivotButton="0" quotePrefix="0" xfId="0">
      <alignment horizontal="right"/>
    </xf>
    <xf numFmtId="10" fontId="41" fillId="33" borderId="27" applyAlignment="1" pivotButton="0" quotePrefix="0" xfId="0">
      <alignment horizontal="right"/>
    </xf>
    <xf numFmtId="0" fontId="46" fillId="34" borderId="0" applyAlignment="1" pivotButton="0" quotePrefix="0" xfId="0">
      <alignment horizontal="left" vertical="center"/>
    </xf>
    <xf numFmtId="0" fontId="44" fillId="0" borderId="28" applyAlignment="1" pivotButton="0" quotePrefix="0" xfId="0">
      <alignment horizontal="left" vertical="center"/>
    </xf>
    <xf numFmtId="0" fontId="44" fillId="0" borderId="29" applyAlignment="1" pivotButton="0" quotePrefix="0" xfId="0">
      <alignment horizontal="right"/>
    </xf>
    <xf numFmtId="10" fontId="44" fillId="0" borderId="29" applyAlignment="1" pivotButton="0" quotePrefix="0" xfId="0">
      <alignment horizontal="right"/>
    </xf>
    <xf numFmtId="0" fontId="41" fillId="33" borderId="28" applyAlignment="1" pivotButton="0" quotePrefix="0" xfId="0">
      <alignment horizontal="left" vertical="center"/>
    </xf>
    <xf numFmtId="10" fontId="41" fillId="33" borderId="29" applyAlignment="1" pivotButton="0" quotePrefix="0" xfId="0">
      <alignment horizontal="right"/>
    </xf>
    <xf numFmtId="0" fontId="45" fillId="32" borderId="28" applyAlignment="1" pivotButton="0" quotePrefix="0" xfId="0">
      <alignment horizontal="left" vertical="center"/>
    </xf>
    <xf numFmtId="0" fontId="44" fillId="32" borderId="29" applyAlignment="1" pivotButton="0" quotePrefix="0" xfId="0">
      <alignment horizontal="right"/>
    </xf>
    <xf numFmtId="0" fontId="44" fillId="0" borderId="6" applyAlignment="1" pivotButton="0" quotePrefix="0" xfId="0">
      <alignment horizontal="left" vertical="center"/>
    </xf>
    <xf numFmtId="4" fontId="44" fillId="0" borderId="7" applyAlignment="1" pivotButton="0" quotePrefix="0" xfId="0">
      <alignment horizontal="right"/>
    </xf>
    <xf numFmtId="10" fontId="44" fillId="0" borderId="7" applyAlignment="1" pivotButton="0" quotePrefix="0" xfId="0">
      <alignment horizontal="right"/>
    </xf>
    <xf numFmtId="0" fontId="41" fillId="33" borderId="24" applyAlignment="1" pivotButton="0" quotePrefix="0" xfId="0">
      <alignment horizontal="left" vertical="center"/>
    </xf>
    <xf numFmtId="10" fontId="41" fillId="33" borderId="25" applyAlignment="1" pivotButton="0" quotePrefix="0" xfId="0">
      <alignment horizontal="right"/>
    </xf>
    <xf numFmtId="0" fontId="45" fillId="32" borderId="9" applyAlignment="1" pivotButton="0" quotePrefix="0" xfId="0">
      <alignment horizontal="left" vertical="center"/>
    </xf>
    <xf numFmtId="0" fontId="44" fillId="32" borderId="10" applyAlignment="1" pivotButton="0" quotePrefix="0" xfId="0">
      <alignment horizontal="right"/>
    </xf>
    <xf numFmtId="0" fontId="44" fillId="0" borderId="11" applyAlignment="1" pivotButton="0" quotePrefix="0" xfId="0">
      <alignment horizontal="left" vertical="center"/>
    </xf>
    <xf numFmtId="0" fontId="44" fillId="0" borderId="12" applyAlignment="1" pivotButton="0" quotePrefix="0" xfId="0">
      <alignment horizontal="right"/>
    </xf>
    <xf numFmtId="0" fontId="45" fillId="32" borderId="20" applyAlignment="1" pivotButton="0" quotePrefix="0" xfId="0">
      <alignment horizontal="left" vertical="center"/>
    </xf>
    <xf numFmtId="0" fontId="44" fillId="32" borderId="21" applyAlignment="1" pivotButton="0" quotePrefix="0" xfId="0">
      <alignment horizontal="right"/>
    </xf>
    <xf numFmtId="0" fontId="44" fillId="0" borderId="13" applyAlignment="1" pivotButton="0" quotePrefix="0" xfId="0">
      <alignment horizontal="left" vertical="center"/>
    </xf>
    <xf numFmtId="4" fontId="44" fillId="0" borderId="14" applyAlignment="1" pivotButton="0" quotePrefix="0" xfId="0">
      <alignment horizontal="right"/>
    </xf>
    <xf numFmtId="10" fontId="44" fillId="0" borderId="14" applyAlignment="1" pivotButton="0" quotePrefix="0" xfId="0">
      <alignment horizontal="right"/>
    </xf>
    <xf numFmtId="0" fontId="45" fillId="32" borderId="16" applyAlignment="1" pivotButton="0" quotePrefix="0" xfId="0">
      <alignment horizontal="left" vertical="center"/>
    </xf>
    <xf numFmtId="0" fontId="44" fillId="32" borderId="17" applyAlignment="1" pivotButton="0" quotePrefix="0" xfId="0">
      <alignment horizontal="right"/>
    </xf>
    <xf numFmtId="0" fontId="45" fillId="32" borderId="24" applyAlignment="1" pivotButton="0" quotePrefix="0" xfId="0">
      <alignment horizontal="left" vertical="center"/>
    </xf>
    <xf numFmtId="0" fontId="44" fillId="32" borderId="25" applyAlignment="1" pivotButton="0" quotePrefix="0" xfId="0">
      <alignment horizontal="right"/>
    </xf>
    <xf numFmtId="0" fontId="44" fillId="0" borderId="26" applyAlignment="1" pivotButton="0" quotePrefix="0" xfId="0">
      <alignment horizontal="left" vertical="center"/>
    </xf>
    <xf numFmtId="0" fontId="44" fillId="0" borderId="27" applyAlignment="1" pivotButton="0" quotePrefix="0" xfId="0">
      <alignment horizontal="right"/>
    </xf>
    <xf numFmtId="0" fontId="44" fillId="0" borderId="9" applyAlignment="1" pivotButton="0" quotePrefix="0" xfId="0">
      <alignment horizontal="left" vertical="center"/>
    </xf>
    <xf numFmtId="4" fontId="44" fillId="0" borderId="10" applyAlignment="1" pivotButton="0" quotePrefix="0" xfId="0">
      <alignment horizontal="right"/>
    </xf>
    <xf numFmtId="10" fontId="44" fillId="0" borderId="10" applyAlignment="1" pivotButton="0" quotePrefix="0" xfId="0">
      <alignment horizontal="right"/>
    </xf>
    <xf numFmtId="0" fontId="45" fillId="32" borderId="11" applyAlignment="1" pivotButton="0" quotePrefix="0" xfId="0">
      <alignment horizontal="left" vertical="center"/>
    </xf>
    <xf numFmtId="0" fontId="44" fillId="32" borderId="12" applyAlignment="1" pivotButton="0" quotePrefix="0" xfId="0">
      <alignment horizontal="right"/>
    </xf>
    <xf numFmtId="0" fontId="44" fillId="0" borderId="30" applyAlignment="1" pivotButton="0" quotePrefix="0" xfId="0">
      <alignment horizontal="left" vertical="center"/>
    </xf>
    <xf numFmtId="4" fontId="44" fillId="0" borderId="18" applyAlignment="1" pivotButton="0" quotePrefix="0" xfId="0">
      <alignment horizontal="right"/>
    </xf>
    <xf numFmtId="10" fontId="44" fillId="0" borderId="18" applyAlignment="1" pivotButton="0" quotePrefix="0" xfId="0">
      <alignment horizontal="right"/>
    </xf>
    <xf numFmtId="0" fontId="44" fillId="0" borderId="16" applyAlignment="1" pivotButton="0" quotePrefix="0" xfId="0">
      <alignment horizontal="left" vertical="center"/>
    </xf>
    <xf numFmtId="4" fontId="44" fillId="0" borderId="17" applyAlignment="1" pivotButton="0" quotePrefix="0" xfId="0">
      <alignment horizontal="right"/>
    </xf>
    <xf numFmtId="10" fontId="44" fillId="0" borderId="17" applyAlignment="1" pivotButton="0" quotePrefix="0" xfId="0">
      <alignment horizontal="right"/>
    </xf>
    <xf numFmtId="0" fontId="44" fillId="0" borderId="20" applyAlignment="1" pivotButton="0" quotePrefix="0" xfId="0">
      <alignment horizontal="left" vertical="center"/>
    </xf>
    <xf numFmtId="0" fontId="44" fillId="0" borderId="21" applyAlignment="1" pivotButton="0" quotePrefix="0" xfId="0">
      <alignment horizontal="right"/>
    </xf>
    <xf numFmtId="0" fontId="45" fillId="32" borderId="30" applyAlignment="1" pivotButton="0" quotePrefix="0" xfId="0">
      <alignment horizontal="left" vertical="center"/>
    </xf>
    <xf numFmtId="0" fontId="44" fillId="32" borderId="18" applyAlignment="1" pivotButton="0" quotePrefix="0" xfId="0">
      <alignment horizontal="right"/>
    </xf>
    <xf numFmtId="0" fontId="46" fillId="34" borderId="26" applyAlignment="1" pivotButton="0" quotePrefix="0" xfId="0">
      <alignment horizontal="left" vertical="center"/>
    </xf>
    <xf numFmtId="4" fontId="46" fillId="34" borderId="27" applyAlignment="1" pivotButton="0" quotePrefix="0" xfId="0">
      <alignment horizontal="right"/>
    </xf>
    <xf numFmtId="10" fontId="46" fillId="34" borderId="27" applyAlignment="1" pivotButton="0" quotePrefix="0" xfId="0">
      <alignment horizontal="right"/>
    </xf>
    <xf numFmtId="4" fontId="44" fillId="0" borderId="12" applyAlignment="1" pivotButton="0" quotePrefix="0" xfId="0">
      <alignment horizontal="right"/>
    </xf>
    <xf numFmtId="10" fontId="44" fillId="0" borderId="12" applyAlignment="1" pivotButton="0" quotePrefix="0" xfId="0">
      <alignment horizontal="right"/>
    </xf>
    <xf numFmtId="4" fontId="44" fillId="0" borderId="21" applyAlignment="1" pivotButton="0" quotePrefix="0" xfId="0">
      <alignment horizontal="right"/>
    </xf>
    <xf numFmtId="10" fontId="44" fillId="0" borderId="21" applyAlignment="1" pivotButton="0" quotePrefix="0" xfId="0">
      <alignment horizontal="right"/>
    </xf>
    <xf numFmtId="0" fontId="41" fillId="33" borderId="16" applyAlignment="1" pivotButton="0" quotePrefix="0" xfId="0">
      <alignment horizontal="left" vertical="center"/>
    </xf>
    <xf numFmtId="4" fontId="41" fillId="33" borderId="17" applyAlignment="1" pivotButton="0" quotePrefix="0" xfId="0">
      <alignment horizontal="right"/>
    </xf>
    <xf numFmtId="10" fontId="41" fillId="33" borderId="17" applyAlignment="1" pivotButton="0" quotePrefix="0" xfId="0">
      <alignment horizontal="right"/>
    </xf>
    <xf numFmtId="0" fontId="41" fillId="33" borderId="30" applyAlignment="1" pivotButton="0" quotePrefix="0" xfId="0">
      <alignment horizontal="left" vertical="center"/>
    </xf>
    <xf numFmtId="4" fontId="41" fillId="33" borderId="18" applyAlignment="1" pivotButton="0" quotePrefix="0" xfId="0">
      <alignment horizontal="right"/>
    </xf>
    <xf numFmtId="10" fontId="41" fillId="33" borderId="18" applyAlignment="1" pivotButton="0" quotePrefix="0" xfId="0">
      <alignment horizontal="right"/>
    </xf>
    <xf numFmtId="0" fontId="41" fillId="33" borderId="20" applyAlignment="1" pivotButton="0" quotePrefix="0" xfId="0">
      <alignment horizontal="left" vertical="center"/>
    </xf>
    <xf numFmtId="4" fontId="41" fillId="33" borderId="21" applyAlignment="1" pivotButton="0" quotePrefix="0" xfId="0">
      <alignment horizontal="right"/>
    </xf>
    <xf numFmtId="10" fontId="41" fillId="33" borderId="21" applyAlignment="1" pivotButton="0" quotePrefix="0" xfId="0">
      <alignment horizontal="right"/>
    </xf>
    <xf numFmtId="0" fontId="44" fillId="0" borderId="10" applyAlignment="1" pivotButton="0" quotePrefix="0" xfId="0">
      <alignment horizontal="right"/>
    </xf>
    <xf numFmtId="0" fontId="46" fillId="34" borderId="28" applyAlignment="1" pivotButton="0" quotePrefix="0" xfId="0">
      <alignment horizontal="left" vertical="center"/>
    </xf>
    <xf numFmtId="10" fontId="46" fillId="34" borderId="29" applyAlignment="1" pivotButton="0" quotePrefix="0" xfId="0">
      <alignment horizontal="right"/>
    </xf>
    <xf numFmtId="4" fontId="41" fillId="33" borderId="29" applyAlignment="1" pivotButton="0" quotePrefix="0" xfId="0">
      <alignment horizontal="right"/>
    </xf>
    <xf numFmtId="0" fontId="49" fillId="0" borderId="0" pivotButton="0" quotePrefix="0" xfId="0"/>
    <xf numFmtId="0" fontId="50" fillId="0" borderId="0" pivotButton="0" quotePrefix="0" xfId="0"/>
    <xf numFmtId="0" fontId="51" fillId="36" borderId="33" applyAlignment="1" pivotButton="0" quotePrefix="0" xfId="0">
      <alignment horizontal="center"/>
    </xf>
    <xf numFmtId="0" fontId="52" fillId="34" borderId="33" pivotButton="0" quotePrefix="0" xfId="0"/>
    <xf numFmtId="164" fontId="41" fillId="34" borderId="33" applyAlignment="1" pivotButton="0" quotePrefix="0" xfId="0">
      <alignment horizontal="right"/>
    </xf>
    <xf numFmtId="0" fontId="53" fillId="0" borderId="0" pivotButton="0" quotePrefix="0" xfId="0"/>
    <xf numFmtId="0" fontId="0" fillId="0" borderId="33" pivotButton="0" quotePrefix="0" xfId="0"/>
    <xf numFmtId="165" fontId="0" fillId="0" borderId="33" applyAlignment="1" pivotButton="0" quotePrefix="0" xfId="0">
      <alignment horizontal="right"/>
    </xf>
    <xf numFmtId="0" fontId="51" fillId="36" borderId="33" applyAlignment="1" pivotButton="0" quotePrefix="0" xfId="0">
      <alignment horizontal="center" wrapText="1"/>
    </xf>
    <xf numFmtId="0" fontId="52" fillId="0" borderId="33" pivotButton="0" quotePrefix="0" xfId="0"/>
    <xf numFmtId="164" fontId="0" fillId="0" borderId="33" applyAlignment="1" pivotButton="0" quotePrefix="0" xfId="0">
      <alignment horizontal="right"/>
    </xf>
    <xf numFmtId="164" fontId="41" fillId="0" borderId="33" applyAlignment="1" pivotButton="0" quotePrefix="0" xfId="0">
      <alignment horizontal="right"/>
    </xf>
    <xf numFmtId="165" fontId="0" fillId="0" borderId="33" pivotButton="0" quotePrefix="0" xfId="0"/>
    <xf numFmtId="0" fontId="52" fillId="37" borderId="33" pivotButton="0" quotePrefix="0" xfId="0"/>
    <xf numFmtId="164" fontId="0" fillId="37" borderId="33" applyAlignment="1" pivotButton="0" quotePrefix="0" xfId="0">
      <alignment horizontal="right"/>
    </xf>
    <xf numFmtId="164" fontId="41" fillId="37" borderId="33" applyAlignment="1" pivotButton="0" quotePrefix="0" xfId="0">
      <alignment horizontal="right"/>
    </xf>
    <xf numFmtId="165" fontId="0" fillId="37" borderId="33" pivotButton="0" quotePrefix="0" xfId="0"/>
    <xf numFmtId="0" fontId="54" fillId="0" borderId="0" pivotButton="0" quotePrefix="0" xfId="0"/>
    <xf numFmtId="0" fontId="45" fillId="36" borderId="34" pivotButton="0" quotePrefix="0" xfId="0"/>
    <xf numFmtId="0" fontId="0" fillId="36" borderId="34" pivotButton="0" quotePrefix="0" xfId="0"/>
    <xf numFmtId="0" fontId="0" fillId="0" borderId="34" pivotButton="0" quotePrefix="0" xfId="0"/>
    <xf numFmtId="4" fontId="0" fillId="0" borderId="34" applyAlignment="1" pivotButton="0" quotePrefix="0" xfId="0">
      <alignment horizontal="right"/>
    </xf>
    <xf numFmtId="10" fontId="0" fillId="0" borderId="34" applyAlignment="1" pivotButton="0" quotePrefix="0" xfId="0">
      <alignment horizontal="right"/>
    </xf>
    <xf numFmtId="0" fontId="46" fillId="34" borderId="34" pivotButton="0" quotePrefix="0" xfId="0"/>
    <xf numFmtId="4" fontId="46" fillId="34" borderId="34" applyAlignment="1" pivotButton="0" quotePrefix="0" xfId="0">
      <alignment horizontal="right"/>
    </xf>
    <xf numFmtId="10" fontId="46" fillId="34" borderId="34" applyAlignment="1" pivotButton="0" quotePrefix="0" xfId="0">
      <alignment horizontal="right"/>
    </xf>
    <xf numFmtId="0" fontId="41" fillId="0" borderId="34" pivotButton="0" quotePrefix="0" xfId="0"/>
    <xf numFmtId="4" fontId="41" fillId="0" borderId="34" applyAlignment="1" pivotButton="0" quotePrefix="0" xfId="0">
      <alignment horizontal="right"/>
    </xf>
    <xf numFmtId="10" fontId="41" fillId="0" borderId="34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styles" Target="styles.xml" Id="rId63"/><Relationship Type="http://schemas.openxmlformats.org/officeDocument/2006/relationships/theme" Target="theme/theme1.xml" Id="rId6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Channel Revenue by Month (₹L)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'Combined View'!B21</f>
            </strRef>
          </tx>
          <spPr>
            <a:ln xmlns:a="http://schemas.openxmlformats.org/drawingml/2006/main">
              <a:prstDash val="solid"/>
            </a:ln>
          </spPr>
          <cat>
            <numRef>
              <f>'Combined View'!$A$22:$A$51</f>
            </numRef>
          </cat>
          <val>
            <numRef>
              <f>'Combined View'!$B$22:$B$51</f>
            </numRef>
          </val>
        </ser>
        <ser>
          <idx val="1"/>
          <order val="1"/>
          <tx>
            <strRef>
              <f>'Combined View'!C21</f>
            </strRef>
          </tx>
          <spPr>
            <a:ln xmlns:a="http://schemas.openxmlformats.org/drawingml/2006/main">
              <a:prstDash val="solid"/>
            </a:ln>
          </spPr>
          <cat>
            <numRef>
              <f>'Combined View'!$A$22:$A$51</f>
            </numRef>
          </cat>
          <val>
            <numRef>
              <f>'Combined View'!$C$22:$C$51</f>
            </numRef>
          </val>
        </ser>
        <ser>
          <idx val="2"/>
          <order val="2"/>
          <tx>
            <strRef>
              <f>'Combined View'!D21</f>
            </strRef>
          </tx>
          <spPr>
            <a:ln xmlns:a="http://schemas.openxmlformats.org/drawingml/2006/main">
              <a:prstDash val="solid"/>
            </a:ln>
          </spPr>
          <cat>
            <numRef>
              <f>'Combined View'!$A$22:$A$51</f>
            </numRef>
          </cat>
          <val>
            <numRef>
              <f>'Combined View'!$D$22:$D$51</f>
            </numRef>
          </val>
        </ser>
        <ser>
          <idx val="3"/>
          <order val="3"/>
          <tx>
            <strRef>
              <f>'Combined View'!E21</f>
            </strRef>
          </tx>
          <spPr>
            <a:ln xmlns:a="http://schemas.openxmlformats.org/drawingml/2006/main">
              <a:prstDash val="solid"/>
            </a:ln>
          </spPr>
          <cat>
            <numRef>
              <f>'Combined View'!$A$22:$A$51</f>
            </numRef>
          </cat>
          <val>
            <numRef>
              <f>'Combined View'!$E$22:$E$51</f>
            </numRef>
          </val>
        </ser>
        <ser>
          <idx val="4"/>
          <order val="4"/>
          <tx>
            <strRef>
              <f>'Combined View'!F21</f>
            </strRef>
          </tx>
          <spPr>
            <a:ln xmlns:a="http://schemas.openxmlformats.org/drawingml/2006/main">
              <a:prstDash val="solid"/>
            </a:ln>
          </spPr>
          <cat>
            <numRef>
              <f>'Combined View'!$A$22:$A$51</f>
            </numRef>
          </cat>
          <val>
            <numRef>
              <f>'Combined View'!$F$22:$F$51</f>
            </numRef>
          </val>
        </ser>
        <ser>
          <idx val="5"/>
          <order val="5"/>
          <tx>
            <strRef>
              <f>'Combined View'!G21</f>
            </strRef>
          </tx>
          <spPr>
            <a:ln xmlns:a="http://schemas.openxmlformats.org/drawingml/2006/main">
              <a:prstDash val="solid"/>
            </a:ln>
          </spPr>
          <cat>
            <numRef>
              <f>'Combined View'!$A$22:$A$51</f>
            </numRef>
          </cat>
          <val>
            <numRef>
              <f>'Combined View'!$G$22:$G$51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Gross Margin % &amp; EBITDA %</a:t>
            </a:r>
          </a:p>
        </rich>
      </tx>
    </title>
    <plotArea>
      <lineChart>
        <grouping val="standard"/>
        <ser>
          <idx val="0"/>
          <order val="0"/>
          <tx>
            <strRef>
              <f>'Combined View'!I21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'Combined View'!$A$22:$A$51</f>
            </numRef>
          </cat>
          <val>
            <numRef>
              <f>'Combined View'!$I$22:$I$51</f>
            </numRef>
          </val>
        </ser>
        <ser>
          <idx val="1"/>
          <order val="1"/>
          <tx>
            <strRef>
              <f>'Combined View'!J21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'Combined View'!$A$22:$A$51</f>
            </numRef>
          </cat>
          <val>
            <numRef>
              <f>'Combined View'!$J$22:$J$51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Revenue by Month (₹L)</a:t>
            </a:r>
          </a:p>
        </rich>
      </tx>
    </title>
    <plotArea>
      <lineChart>
        <grouping val="standard"/>
        <ser>
          <idx val="0"/>
          <order val="0"/>
          <tx>
            <strRef>
              <f>'Combined View'!H21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'Combined View'!$A$22:$A$51</f>
            </numRef>
          </cat>
          <val>
            <numRef>
              <f>'Combined View'!$H$22:$H$51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13</col>
      <colOff>0</colOff>
      <row>3</row>
      <rowOff>0</rowOff>
    </from>
    <ext cx="108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20</row>
      <rowOff>0</rowOff>
    </from>
    <ext cx="108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13</col>
      <colOff>0</colOff>
      <row>36</row>
      <rowOff>0</rowOff>
    </from>
    <ext cx="1080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0" workbookViewId="0">
      <selection activeCell="A1" sqref="A1"/>
    </sheetView>
  </sheetViews>
  <sheetFormatPr baseColWidth="8" defaultRowHeight="15"/>
  <cols>
    <col width="22" customWidth="1" style="2" min="1" max="1"/>
    <col width="11" customWidth="1" style="2" min="2" max="2"/>
    <col width="11" customWidth="1" style="2" min="3" max="3"/>
    <col width="11" customWidth="1" style="2" min="4" max="4"/>
    <col width="11" customWidth="1" style="2" min="5" max="5"/>
    <col width="11" customWidth="1" style="2" min="6" max="6"/>
    <col width="11" customWidth="1" style="2" min="7" max="7"/>
    <col width="11" customWidth="1" style="2" min="8" max="8"/>
    <col width="11" customWidth="1" style="2" min="9" max="9"/>
    <col width="11" customWidth="1" style="2" min="10" max="10"/>
    <col width="11" customWidth="1" style="2" min="11" max="11"/>
    <col width="11" customWidth="1" style="2" min="12" max="12"/>
    <col width="11" customWidth="1" style="2" min="13" max="13"/>
  </cols>
  <sheetData>
    <row r="1">
      <c r="A1" s="164" t="inlineStr">
        <is>
          <t>HEATRONICS  —  COMBINED VIEW</t>
        </is>
      </c>
    </row>
    <row r="2">
      <c r="A2" s="45" t="inlineStr">
        <is>
          <t>Net Revenue by channel &amp; margins.  Figures ₹ Lakhs.  Net Revenue = external sales net of returns &amp; GST (excl. inter-branch).</t>
        </is>
      </c>
    </row>
    <row r="4">
      <c r="A4" s="165" t="inlineStr">
        <is>
          <t>FISCAL-YEAR SUMMARY</t>
        </is>
      </c>
    </row>
    <row r="5">
      <c r="A5" s="166" t="inlineStr">
        <is>
          <t>Metric</t>
        </is>
      </c>
      <c r="B5" s="166" t="inlineStr">
        <is>
          <t>FY 2023-24</t>
        </is>
      </c>
      <c r="C5" s="166" t="inlineStr">
        <is>
          <t>FY 2024-25</t>
        </is>
      </c>
      <c r="D5" s="166" t="inlineStr">
        <is>
          <t>FY 2025-26</t>
        </is>
      </c>
      <c r="E5" s="166" t="inlineStr">
        <is>
          <t>FY 2026-27</t>
        </is>
      </c>
    </row>
    <row r="6">
      <c r="A6" s="167" t="inlineStr">
        <is>
          <t>NET REVENUE (₹L)</t>
        </is>
      </c>
      <c r="B6" s="168" t="n">
        <v>134.1</v>
      </c>
      <c r="C6" s="168" t="n">
        <v>379.5</v>
      </c>
      <c r="D6" s="168" t="n">
        <v>573.7</v>
      </c>
      <c r="E6" s="168" t="n">
        <v>109</v>
      </c>
    </row>
    <row r="7">
      <c r="A7" s="169" t="inlineStr">
        <is>
          <t xml:space="preserve">  Channel mix %</t>
        </is>
      </c>
    </row>
    <row r="8">
      <c r="A8" s="170" t="inlineStr">
        <is>
          <t xml:space="preserve">   D2C</t>
        </is>
      </c>
      <c r="B8" s="171" t="n">
        <v>0</v>
      </c>
      <c r="C8" s="171" t="n">
        <v>0.007</v>
      </c>
      <c r="D8" s="171" t="n">
        <v>0.402</v>
      </c>
      <c r="E8" s="171" t="n">
        <v>0.301</v>
      </c>
    </row>
    <row r="9">
      <c r="A9" s="170" t="inlineStr">
        <is>
          <t xml:space="preserve">   Amazon</t>
        </is>
      </c>
      <c r="B9" s="171" t="n">
        <v>0.073</v>
      </c>
      <c r="C9" s="171" t="n">
        <v>0.655</v>
      </c>
      <c r="D9" s="171" t="n">
        <v>0.335</v>
      </c>
      <c r="E9" s="171" t="n">
        <v>0.384</v>
      </c>
    </row>
    <row r="10">
      <c r="A10" s="170" t="inlineStr">
        <is>
          <t xml:space="preserve">   Blinkit</t>
        </is>
      </c>
      <c r="B10" s="171" t="n">
        <v>0</v>
      </c>
      <c r="C10" s="171" t="n">
        <v>0.005</v>
      </c>
      <c r="D10" s="171" t="n">
        <v>0.054</v>
      </c>
      <c r="E10" s="171" t="n">
        <v>0</v>
      </c>
    </row>
    <row r="11">
      <c r="A11" s="170" t="inlineStr">
        <is>
          <t xml:space="preserve">   OEM</t>
        </is>
      </c>
      <c r="B11" s="171" t="n">
        <v>0.802</v>
      </c>
      <c r="C11" s="171" t="n">
        <v>0.133</v>
      </c>
      <c r="D11" s="171" t="n">
        <v>0.134</v>
      </c>
      <c r="E11" s="171" t="n">
        <v>0.271</v>
      </c>
    </row>
    <row r="12">
      <c r="A12" s="170" t="inlineStr">
        <is>
          <t xml:space="preserve">   Offline</t>
        </is>
      </c>
      <c r="B12" s="171" t="n">
        <v>0.125</v>
      </c>
      <c r="C12" s="171" t="n">
        <v>0.2</v>
      </c>
      <c r="D12" s="171" t="n">
        <v>0.074</v>
      </c>
      <c r="E12" s="171" t="n">
        <v>0.045</v>
      </c>
    </row>
    <row r="13">
      <c r="A13" s="170" t="inlineStr">
        <is>
          <t xml:space="preserve">   Export</t>
        </is>
      </c>
      <c r="B13" s="171" t="n">
        <v>0</v>
      </c>
      <c r="C13" s="171" t="n">
        <v>0</v>
      </c>
      <c r="D13" s="171" t="n">
        <v>0</v>
      </c>
      <c r="E13" s="171" t="n">
        <v>0</v>
      </c>
    </row>
    <row r="14">
      <c r="A14" s="169" t="inlineStr">
        <is>
          <t xml:space="preserve">  Margins</t>
        </is>
      </c>
    </row>
    <row r="15">
      <c r="A15" s="170" t="inlineStr">
        <is>
          <t xml:space="preserve">   Gross Margin %</t>
        </is>
      </c>
      <c r="B15" s="171" t="n">
        <v>0.305</v>
      </c>
      <c r="C15" s="171" t="n">
        <v>0.636</v>
      </c>
      <c r="D15" s="171" t="n">
        <v>0.479</v>
      </c>
      <c r="E15" s="171" t="n">
        <v>0.592</v>
      </c>
    </row>
    <row r="16">
      <c r="A16" s="170" t="inlineStr">
        <is>
          <t xml:space="preserve">   EBITDA %</t>
        </is>
      </c>
      <c r="B16" s="171" t="n">
        <v>0.053</v>
      </c>
      <c r="C16" s="171" t="n">
        <v>0.07199999999999999</v>
      </c>
      <c r="D16" s="171" t="n">
        <v>-0.042</v>
      </c>
      <c r="E16" s="171" t="n">
        <v>0.031</v>
      </c>
    </row>
    <row r="17">
      <c r="A17" s="170" t="inlineStr">
        <is>
          <t xml:space="preserve">   Net Income %</t>
        </is>
      </c>
      <c r="B17" s="171" t="n">
        <v>-0.057</v>
      </c>
      <c r="C17" s="171" t="n">
        <v>0.015</v>
      </c>
      <c r="D17" s="171" t="n">
        <v>-0.055</v>
      </c>
      <c r="E17" s="171" t="n">
        <v>-0.242</v>
      </c>
    </row>
    <row r="20">
      <c r="A20" s="165" t="inlineStr">
        <is>
          <t>MONTHLY CHANNEL SPLIT &amp; MARGINS (₹ Lakhs)</t>
        </is>
      </c>
    </row>
    <row r="21" ht="26" customHeight="1" s="2">
      <c r="A21" s="172" t="inlineStr">
        <is>
          <t>Month</t>
        </is>
      </c>
      <c r="B21" s="172" t="inlineStr">
        <is>
          <t>D2C</t>
        </is>
      </c>
      <c r="C21" s="172" t="inlineStr">
        <is>
          <t>Amazon</t>
        </is>
      </c>
      <c r="D21" s="172" t="inlineStr">
        <is>
          <t>Blinkit</t>
        </is>
      </c>
      <c r="E21" s="172" t="inlineStr">
        <is>
          <t>OEM</t>
        </is>
      </c>
      <c r="F21" s="172" t="inlineStr">
        <is>
          <t>Offline</t>
        </is>
      </c>
      <c r="G21" s="172" t="inlineStr">
        <is>
          <t>Export</t>
        </is>
      </c>
      <c r="H21" s="172" t="inlineStr">
        <is>
          <t>Net Revenue</t>
        </is>
      </c>
      <c r="I21" s="172" t="inlineStr">
        <is>
          <t>GM %</t>
        </is>
      </c>
      <c r="J21" s="172" t="inlineStr">
        <is>
          <t>EBITDA %</t>
        </is>
      </c>
    </row>
    <row r="22">
      <c r="A22" s="173" t="inlineStr">
        <is>
          <t>Dec-23</t>
        </is>
      </c>
      <c r="B22" s="174" t="n">
        <v>0</v>
      </c>
      <c r="C22" s="174" t="n">
        <v>0.66</v>
      </c>
      <c r="D22" s="174" t="n">
        <v>0</v>
      </c>
      <c r="E22" s="174" t="n">
        <v>34.62</v>
      </c>
      <c r="F22" s="174" t="n">
        <v>11.77</v>
      </c>
      <c r="G22" s="174" t="n">
        <v>0</v>
      </c>
      <c r="H22" s="175" t="n">
        <v>47.05</v>
      </c>
      <c r="I22" s="176" t="n">
        <v>0.3232</v>
      </c>
      <c r="J22" s="176" t="n">
        <v>0.149</v>
      </c>
    </row>
    <row r="23">
      <c r="A23" s="177" t="inlineStr">
        <is>
          <t>Apr-24</t>
        </is>
      </c>
      <c r="B23" s="178" t="n">
        <v>0</v>
      </c>
      <c r="C23" s="178" t="n">
        <v>7.6</v>
      </c>
      <c r="D23" s="178" t="n">
        <v>0</v>
      </c>
      <c r="E23" s="178" t="n">
        <v>0.9</v>
      </c>
      <c r="F23" s="178" t="n">
        <v>0.27</v>
      </c>
      <c r="G23" s="178" t="n">
        <v>0</v>
      </c>
      <c r="H23" s="179" t="n">
        <v>8.77</v>
      </c>
      <c r="I23" s="180" t="n">
        <v>0.4826</v>
      </c>
      <c r="J23" s="180" t="n">
        <v>-0.6766</v>
      </c>
    </row>
    <row r="24">
      <c r="A24" s="173" t="inlineStr">
        <is>
          <t>May-24</t>
        </is>
      </c>
      <c r="B24" s="174" t="n">
        <v>0</v>
      </c>
      <c r="C24" s="174" t="n">
        <v>9.59</v>
      </c>
      <c r="D24" s="174" t="n">
        <v>0</v>
      </c>
      <c r="E24" s="174" t="n">
        <v>3.77</v>
      </c>
      <c r="F24" s="174" t="n">
        <v>0.57</v>
      </c>
      <c r="G24" s="174" t="n">
        <v>0</v>
      </c>
      <c r="H24" s="175" t="n">
        <v>13.93</v>
      </c>
      <c r="I24" s="176" t="n">
        <v>0.5886</v>
      </c>
      <c r="J24" s="176" t="n">
        <v>-0.2565</v>
      </c>
    </row>
    <row r="25">
      <c r="A25" s="177" t="inlineStr">
        <is>
          <t>Jun-24</t>
        </is>
      </c>
      <c r="B25" s="178" t="n">
        <v>0</v>
      </c>
      <c r="C25" s="178" t="n">
        <v>12.7</v>
      </c>
      <c r="D25" s="178" t="n">
        <v>0</v>
      </c>
      <c r="E25" s="178" t="n">
        <v>3.42</v>
      </c>
      <c r="F25" s="178" t="n">
        <v>3.7</v>
      </c>
      <c r="G25" s="178" t="n">
        <v>0</v>
      </c>
      <c r="H25" s="179" t="n">
        <v>19.83</v>
      </c>
      <c r="I25" s="180" t="n">
        <v>0.5728</v>
      </c>
      <c r="J25" s="180" t="n">
        <v>-0.0068</v>
      </c>
    </row>
    <row r="26">
      <c r="A26" s="173" t="inlineStr">
        <is>
          <t>Jul-24</t>
        </is>
      </c>
      <c r="B26" s="174" t="n">
        <v>0</v>
      </c>
      <c r="C26" s="174" t="n">
        <v>14.34</v>
      </c>
      <c r="D26" s="174" t="n">
        <v>0</v>
      </c>
      <c r="E26" s="174" t="n">
        <v>6.11</v>
      </c>
      <c r="F26" s="174" t="n">
        <v>0.86</v>
      </c>
      <c r="G26" s="174" t="n">
        <v>0</v>
      </c>
      <c r="H26" s="175" t="n">
        <v>21.31</v>
      </c>
      <c r="I26" s="176" t="n">
        <v>0.6171</v>
      </c>
      <c r="J26" s="176" t="n">
        <v>0.0311</v>
      </c>
    </row>
    <row r="27">
      <c r="A27" s="177" t="inlineStr">
        <is>
          <t>Aug-24</t>
        </is>
      </c>
      <c r="B27" s="178" t="n">
        <v>0</v>
      </c>
      <c r="C27" s="178" t="n">
        <v>16.57</v>
      </c>
      <c r="D27" s="178" t="n">
        <v>0</v>
      </c>
      <c r="E27" s="178" t="n">
        <v>6.74</v>
      </c>
      <c r="F27" s="178" t="n">
        <v>3.77</v>
      </c>
      <c r="G27" s="178" t="n">
        <v>0</v>
      </c>
      <c r="H27" s="179" t="n">
        <v>27.07</v>
      </c>
      <c r="I27" s="180" t="n">
        <v>0.6455</v>
      </c>
      <c r="J27" s="180" t="n">
        <v>0.1461</v>
      </c>
    </row>
    <row r="28">
      <c r="A28" s="173" t="inlineStr">
        <is>
          <t>Sep-24</t>
        </is>
      </c>
      <c r="B28" s="174" t="n">
        <v>0</v>
      </c>
      <c r="C28" s="174" t="n">
        <v>25.02</v>
      </c>
      <c r="D28" s="174" t="n">
        <v>0</v>
      </c>
      <c r="E28" s="174" t="n">
        <v>6.79</v>
      </c>
      <c r="F28" s="174" t="n">
        <v>6.48</v>
      </c>
      <c r="G28" s="174" t="n">
        <v>0</v>
      </c>
      <c r="H28" s="175" t="n">
        <v>38.29</v>
      </c>
      <c r="I28" s="176" t="n">
        <v>0.655</v>
      </c>
      <c r="J28" s="176" t="n">
        <v>0.143</v>
      </c>
    </row>
    <row r="29">
      <c r="A29" s="177" t="inlineStr">
        <is>
          <t>Oct-24</t>
        </is>
      </c>
      <c r="B29" s="178" t="n">
        <v>0</v>
      </c>
      <c r="C29" s="178" t="n">
        <v>24.47</v>
      </c>
      <c r="D29" s="178" t="n">
        <v>0</v>
      </c>
      <c r="E29" s="178" t="n">
        <v>6.22</v>
      </c>
      <c r="F29" s="178" t="n">
        <v>7.5</v>
      </c>
      <c r="G29" s="178" t="n">
        <v>0</v>
      </c>
      <c r="H29" s="179" t="n">
        <v>38.19</v>
      </c>
      <c r="I29" s="180" t="n">
        <v>0.6412</v>
      </c>
      <c r="J29" s="180" t="n">
        <v>0.1063</v>
      </c>
    </row>
    <row r="30">
      <c r="A30" s="173" t="inlineStr">
        <is>
          <t>Nov-24</t>
        </is>
      </c>
      <c r="B30" s="174" t="n">
        <v>0</v>
      </c>
      <c r="C30" s="174" t="n">
        <v>34.75</v>
      </c>
      <c r="D30" s="174" t="n">
        <v>0</v>
      </c>
      <c r="E30" s="174" t="n">
        <v>4.52</v>
      </c>
      <c r="F30" s="174" t="n">
        <v>8.800000000000001</v>
      </c>
      <c r="G30" s="174" t="n">
        <v>0</v>
      </c>
      <c r="H30" s="175" t="n">
        <v>48.07</v>
      </c>
      <c r="I30" s="176" t="n">
        <v>0.6676</v>
      </c>
      <c r="J30" s="176" t="n">
        <v>0.1331</v>
      </c>
    </row>
    <row r="31">
      <c r="A31" s="177" t="inlineStr">
        <is>
          <t>Dec-24</t>
        </is>
      </c>
      <c r="B31" s="178" t="n">
        <v>0.49</v>
      </c>
      <c r="C31" s="178" t="n">
        <v>46.61</v>
      </c>
      <c r="D31" s="178" t="n">
        <v>0</v>
      </c>
      <c r="E31" s="178" t="n">
        <v>6.64</v>
      </c>
      <c r="F31" s="178" t="n">
        <v>15.14</v>
      </c>
      <c r="G31" s="178" t="n">
        <v>0</v>
      </c>
      <c r="H31" s="179" t="n">
        <v>68.89</v>
      </c>
      <c r="I31" s="180" t="n">
        <v>0.654</v>
      </c>
      <c r="J31" s="180" t="n">
        <v>0.1789</v>
      </c>
    </row>
    <row r="32">
      <c r="A32" s="173" t="inlineStr">
        <is>
          <t>Jan-24</t>
        </is>
      </c>
      <c r="B32" s="174" t="n">
        <v>0</v>
      </c>
      <c r="C32" s="174" t="n">
        <v>0.62</v>
      </c>
      <c r="D32" s="174" t="n">
        <v>0</v>
      </c>
      <c r="E32" s="174" t="n">
        <v>35.65</v>
      </c>
      <c r="F32" s="174" t="n">
        <v>4.17</v>
      </c>
      <c r="G32" s="174" t="n">
        <v>0</v>
      </c>
      <c r="H32" s="175" t="n">
        <v>40.44</v>
      </c>
      <c r="I32" s="176" t="n">
        <v>0.334</v>
      </c>
      <c r="J32" s="176" t="n">
        <v>0.1062</v>
      </c>
    </row>
    <row r="33">
      <c r="A33" s="177" t="inlineStr">
        <is>
          <t>Feb-24</t>
        </is>
      </c>
      <c r="B33" s="178" t="n">
        <v>0</v>
      </c>
      <c r="C33" s="178" t="n">
        <v>2.41</v>
      </c>
      <c r="D33" s="178" t="n">
        <v>0</v>
      </c>
      <c r="E33" s="178" t="n">
        <v>28.04</v>
      </c>
      <c r="F33" s="178" t="n">
        <v>0.41</v>
      </c>
      <c r="G33" s="178" t="n">
        <v>0</v>
      </c>
      <c r="H33" s="179" t="n">
        <v>30.86</v>
      </c>
      <c r="I33" s="180" t="n">
        <v>0.3256</v>
      </c>
      <c r="J33" s="180" t="n">
        <v>0.044</v>
      </c>
    </row>
    <row r="34">
      <c r="A34" s="173" t="inlineStr">
        <is>
          <t>Mar-24</t>
        </is>
      </c>
      <c r="B34" s="174" t="n">
        <v>0</v>
      </c>
      <c r="C34" s="174" t="n">
        <v>6.09</v>
      </c>
      <c r="D34" s="174" t="n">
        <v>0</v>
      </c>
      <c r="E34" s="174" t="n">
        <v>9.31</v>
      </c>
      <c r="F34" s="174" t="n">
        <v>0.36</v>
      </c>
      <c r="G34" s="174" t="n">
        <v>0</v>
      </c>
      <c r="H34" s="175" t="n">
        <v>15.76</v>
      </c>
      <c r="I34" s="176" t="n">
        <v>0.14</v>
      </c>
      <c r="J34" s="176" t="n">
        <v>-0.3513</v>
      </c>
    </row>
    <row r="35">
      <c r="A35" s="177" t="inlineStr">
        <is>
          <t>Apr-25</t>
        </is>
      </c>
      <c r="B35" s="178" t="n">
        <v>0.07000000000000001</v>
      </c>
      <c r="C35" s="178" t="n">
        <v>9.470000000000001</v>
      </c>
      <c r="D35" s="178" t="n">
        <v>3.77</v>
      </c>
      <c r="E35" s="178" t="n">
        <v>4.71</v>
      </c>
      <c r="F35" s="178" t="n">
        <v>0.45</v>
      </c>
      <c r="G35" s="178" t="n">
        <v>0</v>
      </c>
      <c r="H35" s="179" t="n">
        <v>18.47</v>
      </c>
      <c r="I35" s="180" t="n">
        <v>0.5824</v>
      </c>
      <c r="J35" s="180" t="n">
        <v>-0.2282</v>
      </c>
    </row>
    <row r="36">
      <c r="A36" s="173" t="inlineStr">
        <is>
          <t>May-25</t>
        </is>
      </c>
      <c r="B36" s="174" t="n">
        <v>0.04</v>
      </c>
      <c r="C36" s="174" t="n">
        <v>15.02</v>
      </c>
      <c r="D36" s="174" t="n">
        <v>2.76</v>
      </c>
      <c r="E36" s="174" t="n">
        <v>1.41</v>
      </c>
      <c r="F36" s="174" t="n">
        <v>1.3</v>
      </c>
      <c r="G36" s="174" t="n">
        <v>0</v>
      </c>
      <c r="H36" s="175" t="n">
        <v>20.54</v>
      </c>
      <c r="I36" s="176" t="n">
        <v>0.5723</v>
      </c>
      <c r="J36" s="176" t="n">
        <v>-0.2093</v>
      </c>
    </row>
    <row r="37">
      <c r="A37" s="177" t="inlineStr">
        <is>
          <t>Jun-25</t>
        </is>
      </c>
      <c r="B37" s="178" t="n">
        <v>0</v>
      </c>
      <c r="C37" s="178" t="n">
        <v>17.3</v>
      </c>
      <c r="D37" s="178" t="n">
        <v>2.74</v>
      </c>
      <c r="E37" s="178" t="n">
        <v>5.33</v>
      </c>
      <c r="F37" s="178" t="n">
        <v>2.9</v>
      </c>
      <c r="G37" s="178" t="n">
        <v>0</v>
      </c>
      <c r="H37" s="179" t="n">
        <v>28.27</v>
      </c>
      <c r="I37" s="180" t="n">
        <v>0.5923</v>
      </c>
      <c r="J37" s="180" t="n">
        <v>-0.0515</v>
      </c>
    </row>
    <row r="38">
      <c r="A38" s="173" t="inlineStr">
        <is>
          <t>Jul-25</t>
        </is>
      </c>
      <c r="B38" s="174" t="n">
        <v>0</v>
      </c>
      <c r="C38" s="174" t="n">
        <v>27.63</v>
      </c>
      <c r="D38" s="174" t="n">
        <v>4.63</v>
      </c>
      <c r="E38" s="174" t="n">
        <v>8.630000000000001</v>
      </c>
      <c r="F38" s="174" t="n">
        <v>2.22</v>
      </c>
      <c r="G38" s="174" t="n">
        <v>0</v>
      </c>
      <c r="H38" s="175" t="n">
        <v>43.11</v>
      </c>
      <c r="I38" s="176" t="n">
        <v>0.5965</v>
      </c>
      <c r="J38" s="176" t="n">
        <v>0.0332</v>
      </c>
    </row>
    <row r="39">
      <c r="A39" s="177" t="inlineStr">
        <is>
          <t>Aug-25</t>
        </is>
      </c>
      <c r="B39" s="178" t="n">
        <v>0.59</v>
      </c>
      <c r="C39" s="178" t="n">
        <v>19.7</v>
      </c>
      <c r="D39" s="178" t="n">
        <v>3.1</v>
      </c>
      <c r="E39" s="178" t="n">
        <v>5.87</v>
      </c>
      <c r="F39" s="178" t="n">
        <v>2.07</v>
      </c>
      <c r="G39" s="178" t="n">
        <v>0</v>
      </c>
      <c r="H39" s="179" t="n">
        <v>31.33</v>
      </c>
      <c r="I39" s="180" t="n">
        <v>0.5889</v>
      </c>
      <c r="J39" s="180" t="n">
        <v>-0.0395</v>
      </c>
    </row>
    <row r="40">
      <c r="A40" s="173" t="inlineStr">
        <is>
          <t>Sep-25</t>
        </is>
      </c>
      <c r="B40" s="174" t="n">
        <v>8</v>
      </c>
      <c r="C40" s="174" t="n">
        <v>25.33</v>
      </c>
      <c r="D40" s="174" t="n">
        <v>9.08</v>
      </c>
      <c r="E40" s="174" t="n">
        <v>24.16</v>
      </c>
      <c r="F40" s="174" t="n">
        <v>6.94</v>
      </c>
      <c r="G40" s="174" t="n">
        <v>0</v>
      </c>
      <c r="H40" s="175" t="n">
        <v>73.52</v>
      </c>
      <c r="I40" s="176" t="n">
        <v>0.6037</v>
      </c>
      <c r="J40" s="176" t="n">
        <v>0.2396</v>
      </c>
    </row>
    <row r="41">
      <c r="A41" s="177" t="inlineStr">
        <is>
          <t>Oct-25</t>
        </is>
      </c>
      <c r="B41" s="178" t="n">
        <v>20.87</v>
      </c>
      <c r="C41" s="178" t="n">
        <v>24.95</v>
      </c>
      <c r="D41" s="178" t="n">
        <v>0.38</v>
      </c>
      <c r="E41" s="178" t="n">
        <v>3.05</v>
      </c>
      <c r="F41" s="178" t="n">
        <v>2.86</v>
      </c>
      <c r="G41" s="178" t="n">
        <v>0</v>
      </c>
      <c r="H41" s="179" t="n">
        <v>52.11</v>
      </c>
      <c r="I41" s="180" t="n">
        <v>0.5911999999999999</v>
      </c>
      <c r="J41" s="180" t="n">
        <v>-0.0682</v>
      </c>
    </row>
    <row r="42">
      <c r="A42" s="173" t="inlineStr">
        <is>
          <t>Nov-25</t>
        </is>
      </c>
      <c r="B42" s="174" t="n">
        <v>45.1</v>
      </c>
      <c r="C42" s="174" t="n">
        <v>21.48</v>
      </c>
      <c r="D42" s="174" t="n">
        <v>0</v>
      </c>
      <c r="E42" s="174" t="n">
        <v>3.37</v>
      </c>
      <c r="F42" s="174" t="n">
        <v>5.49</v>
      </c>
      <c r="G42" s="174" t="n">
        <v>0</v>
      </c>
      <c r="H42" s="175" t="n">
        <v>75.44</v>
      </c>
      <c r="I42" s="176" t="n">
        <v>0.5851</v>
      </c>
      <c r="J42" s="176" t="n">
        <v>0.08169999999999999</v>
      </c>
    </row>
    <row r="43">
      <c r="A43" s="177" t="inlineStr">
        <is>
          <t>Dec-25</t>
        </is>
      </c>
      <c r="B43" s="178" t="n">
        <v>55.36</v>
      </c>
      <c r="C43" s="178" t="n">
        <v>14.25</v>
      </c>
      <c r="D43" s="178" t="n">
        <v>2.65</v>
      </c>
      <c r="E43" s="178" t="n">
        <v>1.08</v>
      </c>
      <c r="F43" s="178" t="n">
        <v>10.49</v>
      </c>
      <c r="G43" s="178" t="n">
        <v>0</v>
      </c>
      <c r="H43" s="179" t="n">
        <v>83.83</v>
      </c>
      <c r="I43" s="180" t="n">
        <v>0.5633</v>
      </c>
      <c r="J43" s="180" t="n">
        <v>0.093</v>
      </c>
    </row>
    <row r="44">
      <c r="A44" s="173" t="inlineStr">
        <is>
          <t>Jan-25</t>
        </is>
      </c>
      <c r="B44" s="174" t="n">
        <v>0.57</v>
      </c>
      <c r="C44" s="174" t="n">
        <v>38.41</v>
      </c>
      <c r="D44" s="174" t="n">
        <v>0</v>
      </c>
      <c r="E44" s="174" t="n">
        <v>2.07</v>
      </c>
      <c r="F44" s="174" t="n">
        <v>8.92</v>
      </c>
      <c r="G44" s="174" t="n">
        <v>0</v>
      </c>
      <c r="H44" s="175" t="n">
        <v>49.96</v>
      </c>
      <c r="I44" s="176" t="n">
        <v>0.6476</v>
      </c>
      <c r="J44" s="176" t="n">
        <v>0.0536</v>
      </c>
    </row>
    <row r="45">
      <c r="A45" s="177" t="inlineStr">
        <is>
          <t>Feb-25</t>
        </is>
      </c>
      <c r="B45" s="178" t="n">
        <v>0.89</v>
      </c>
      <c r="C45" s="178" t="n">
        <v>9.390000000000001</v>
      </c>
      <c r="D45" s="178" t="n">
        <v>0.28</v>
      </c>
      <c r="E45" s="178" t="n">
        <v>2.92</v>
      </c>
      <c r="F45" s="178" t="n">
        <v>7.79</v>
      </c>
      <c r="G45" s="178" t="n">
        <v>0</v>
      </c>
      <c r="H45" s="179" t="n">
        <v>21.26</v>
      </c>
      <c r="I45" s="180" t="n">
        <v>0.607</v>
      </c>
      <c r="J45" s="180" t="n">
        <v>0.0053</v>
      </c>
    </row>
    <row r="46">
      <c r="A46" s="173" t="inlineStr">
        <is>
          <t>Mar-25</t>
        </is>
      </c>
      <c r="B46" s="174" t="n">
        <v>0.66</v>
      </c>
      <c r="C46" s="174" t="n">
        <v>9</v>
      </c>
      <c r="D46" s="174" t="n">
        <v>1.6</v>
      </c>
      <c r="E46" s="174" t="n">
        <v>0.54</v>
      </c>
      <c r="F46" s="174" t="n">
        <v>12.13</v>
      </c>
      <c r="G46" s="174" t="n">
        <v>0</v>
      </c>
      <c r="H46" s="175" t="n">
        <v>23.93</v>
      </c>
      <c r="I46" s="176" t="n">
        <v>0.6181</v>
      </c>
      <c r="J46" s="176" t="n">
        <v>0.0494</v>
      </c>
    </row>
    <row r="47">
      <c r="A47" s="177" t="inlineStr">
        <is>
          <t>Apr-26</t>
        </is>
      </c>
      <c r="B47" s="178" t="n">
        <v>18.6</v>
      </c>
      <c r="C47" s="178" t="n">
        <v>18</v>
      </c>
      <c r="D47" s="178" t="n">
        <v>0</v>
      </c>
      <c r="E47" s="178" t="n">
        <v>3.16</v>
      </c>
      <c r="F47" s="178" t="n">
        <v>2.1</v>
      </c>
      <c r="G47" s="178" t="n">
        <v>0</v>
      </c>
      <c r="H47" s="179" t="n">
        <v>41.86</v>
      </c>
      <c r="I47" s="180" t="n">
        <v>0.19</v>
      </c>
      <c r="J47" s="180" t="n">
        <v>-0.65</v>
      </c>
    </row>
    <row r="48">
      <c r="A48" s="173" t="inlineStr">
        <is>
          <t>May-26</t>
        </is>
      </c>
      <c r="B48" s="174" t="n">
        <v>14.17</v>
      </c>
      <c r="C48" s="174" t="n">
        <v>23.84</v>
      </c>
      <c r="D48" s="174" t="n">
        <v>0</v>
      </c>
      <c r="E48" s="174" t="n">
        <v>26.34</v>
      </c>
      <c r="F48" s="174" t="n">
        <v>2.77</v>
      </c>
      <c r="G48" s="174" t="n">
        <v>0</v>
      </c>
      <c r="H48" s="175" t="n">
        <v>67.12</v>
      </c>
      <c r="I48" s="176" t="n">
        <v>0.84</v>
      </c>
      <c r="J48" s="176" t="n">
        <v>0.46</v>
      </c>
    </row>
    <row r="49">
      <c r="A49" s="177" t="inlineStr">
        <is>
          <t>Jan-26</t>
        </is>
      </c>
      <c r="B49" s="178" t="n">
        <v>49</v>
      </c>
      <c r="C49" s="178" t="n">
        <v>3.62</v>
      </c>
      <c r="D49" s="178" t="n">
        <v>-0.96</v>
      </c>
      <c r="E49" s="178" t="n">
        <v>6.46</v>
      </c>
      <c r="F49" s="178" t="n">
        <v>5.33</v>
      </c>
      <c r="G49" s="178" t="n">
        <v>0.21</v>
      </c>
      <c r="H49" s="179" t="n">
        <v>63.67</v>
      </c>
      <c r="I49" s="180" t="n">
        <v>-0.0281</v>
      </c>
      <c r="J49" s="180" t="n">
        <v>-0.1375</v>
      </c>
    </row>
    <row r="50">
      <c r="A50" s="173" t="inlineStr">
        <is>
          <t>Feb-26</t>
        </is>
      </c>
      <c r="B50" s="174" t="n">
        <v>31.41</v>
      </c>
      <c r="C50" s="174" t="n">
        <v>2.82</v>
      </c>
      <c r="D50" s="174" t="n">
        <v>-0.28</v>
      </c>
      <c r="E50" s="174" t="n">
        <v>9.17</v>
      </c>
      <c r="F50" s="174" t="n">
        <v>1.79</v>
      </c>
      <c r="G50" s="174" t="n">
        <v>0</v>
      </c>
      <c r="H50" s="175" t="n">
        <v>44.91</v>
      </c>
      <c r="I50" s="176" t="n">
        <v>0.724</v>
      </c>
      <c r="J50" s="176" t="n">
        <v>0.2792</v>
      </c>
    </row>
    <row r="51">
      <c r="A51" s="177" t="inlineStr">
        <is>
          <t>Mar-26</t>
        </is>
      </c>
      <c r="B51" s="178" t="n">
        <v>19.95</v>
      </c>
      <c r="C51" s="178" t="n">
        <v>10.67</v>
      </c>
      <c r="D51" s="178" t="n">
        <v>3.3</v>
      </c>
      <c r="E51" s="178" t="n">
        <v>3.72</v>
      </c>
      <c r="F51" s="178" t="n">
        <v>0.87</v>
      </c>
      <c r="G51" s="178" t="n">
        <v>0</v>
      </c>
      <c r="H51" s="179" t="n">
        <v>38.51</v>
      </c>
      <c r="I51" s="180" t="n">
        <v>-0.1507</v>
      </c>
      <c r="J51" s="180" t="n">
        <v>-1.2002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8.83203125" customWidth="1" style="2" min="1" max="1"/>
    <col width="11.83203125" customWidth="1" style="2" min="2" max="2"/>
    <col width="11.83203125" customWidth="1" style="2" min="3" max="3"/>
    <col width="11.83203125" customWidth="1" style="2" min="4" max="4"/>
    <col width="11.83203125" customWidth="1" style="2" min="5" max="5"/>
    <col width="11.83203125" customWidth="1" style="2" min="6" max="6"/>
    <col width="11.83203125" customWidth="1" style="2" min="7" max="7"/>
    <col width="11.83203125" customWidth="1" style="2" min="8" max="8"/>
    <col width="11.83203125" customWidth="1" style="2" min="9" max="9"/>
    <col width="11.83203125" customWidth="1" style="2" min="10" max="10"/>
    <col width="11.83203125" customWidth="1" style="2" min="11" max="11"/>
    <col width="11.83203125" customWidth="1" style="2" min="12" max="12"/>
    <col width="11.83203125" customWidth="1" style="2" min="13" max="13"/>
    <col width="12.83203125" customWidth="1" style="2" min="14" max="14"/>
  </cols>
  <sheetData>
    <row r="1">
      <c r="A1" s="40" t="inlineStr">
        <is>
          <t>HEATRONICS - MIS SUMMARY REPORT</t>
        </is>
      </c>
    </row>
    <row r="2">
      <c r="A2" s="41" t="inlineStr">
        <is>
          <t>Generated: 24/1/2026</t>
        </is>
      </c>
    </row>
    <row r="4">
      <c r="A4" s="5" t="inlineStr">
        <is>
          <t>Metric</t>
        </is>
      </c>
      <c r="B4" s="5" t="inlineStr">
        <is>
          <t>Jan 2025</t>
        </is>
      </c>
      <c r="C4" s="5" t="inlineStr">
        <is>
          <t>Feb 2025</t>
        </is>
      </c>
      <c r="D4" s="5" t="inlineStr">
        <is>
          <t>Mar 2025</t>
        </is>
      </c>
      <c r="E4" s="5" t="inlineStr">
        <is>
          <t>Apr 2025</t>
        </is>
      </c>
      <c r="F4" s="5" t="inlineStr">
        <is>
          <t>May 2025</t>
        </is>
      </c>
      <c r="G4" s="5" t="inlineStr">
        <is>
          <t>Jun 2025</t>
        </is>
      </c>
      <c r="H4" s="5" t="inlineStr">
        <is>
          <t>Jul 2025</t>
        </is>
      </c>
      <c r="I4" s="5" t="inlineStr">
        <is>
          <t>Aug 2025</t>
        </is>
      </c>
      <c r="J4" s="5" t="inlineStr">
        <is>
          <t>Sep 2025</t>
        </is>
      </c>
      <c r="K4" s="5" t="inlineStr">
        <is>
          <t>Oct 2025</t>
        </is>
      </c>
      <c r="L4" s="5" t="inlineStr">
        <is>
          <t>Nov 2025</t>
        </is>
      </c>
      <c r="M4" s="5" t="inlineStr">
        <is>
          <t>Dec 2025</t>
        </is>
      </c>
      <c r="N4" s="5" t="inlineStr">
        <is>
          <t>Total</t>
        </is>
      </c>
    </row>
    <row r="5">
      <c r="A5" s="6" t="inlineStr">
        <is>
          <t>Net Revenue</t>
        </is>
      </c>
      <c r="B5" s="7" t="n">
        <v>4996306.72</v>
      </c>
      <c r="C5" s="7" t="n">
        <v>2125881.03</v>
      </c>
      <c r="D5" s="7" t="n">
        <v>2393371.34</v>
      </c>
      <c r="E5" s="7" t="n">
        <v>1846907.43</v>
      </c>
      <c r="F5" s="7" t="n">
        <v>2054352.57</v>
      </c>
      <c r="G5" s="7" t="n">
        <v>2827123.84</v>
      </c>
      <c r="H5" s="7" t="n">
        <v>4311263.85</v>
      </c>
      <c r="I5" s="7" t="n">
        <v>3132803.45</v>
      </c>
      <c r="J5" s="7" t="n">
        <v>7351630.03</v>
      </c>
      <c r="K5" s="7" t="n">
        <v>5211048.81</v>
      </c>
      <c r="L5" s="7" t="n">
        <v>7543812.79</v>
      </c>
      <c r="M5" s="7" t="n">
        <v>8382505.69</v>
      </c>
      <c r="N5" s="8" t="n">
        <v>52177007.55</v>
      </c>
    </row>
    <row r="6">
      <c r="A6" s="6" t="inlineStr">
        <is>
          <t>COGM</t>
        </is>
      </c>
      <c r="B6" s="7" t="n">
        <v>1760676.63</v>
      </c>
      <c r="C6" s="7" t="n">
        <v>835500.55</v>
      </c>
      <c r="D6" s="7" t="n">
        <v>914025.12</v>
      </c>
      <c r="E6" s="7" t="n">
        <v>771337.1800000001</v>
      </c>
      <c r="F6" s="7" t="n">
        <v>878649.89</v>
      </c>
      <c r="G6" s="7" t="n">
        <v>1152712.46</v>
      </c>
      <c r="H6" s="7" t="n">
        <v>1739610.5</v>
      </c>
      <c r="I6" s="7" t="n">
        <v>1287748.48</v>
      </c>
      <c r="J6" s="7" t="n">
        <v>2913814.4</v>
      </c>
      <c r="K6" s="7" t="n">
        <v>2130055.15</v>
      </c>
      <c r="L6" s="7" t="n">
        <v>3130085.66</v>
      </c>
      <c r="M6" s="7" t="n">
        <v>3660233.87</v>
      </c>
      <c r="N6" s="8" t="n">
        <v>21174449.89</v>
      </c>
    </row>
    <row r="7">
      <c r="A7" s="6" t="inlineStr">
        <is>
          <t>COGS %</t>
        </is>
      </c>
      <c r="B7" s="7" t="inlineStr">
        <is>
          <t>35.24%</t>
        </is>
      </c>
      <c r="C7" s="7" t="inlineStr">
        <is>
          <t>39.30%</t>
        </is>
      </c>
      <c r="D7" s="7" t="inlineStr">
        <is>
          <t>38.19%</t>
        </is>
      </c>
      <c r="E7" s="7" t="inlineStr">
        <is>
          <t>41.76%</t>
        </is>
      </c>
      <c r="F7" s="7" t="inlineStr">
        <is>
          <t>42.77%</t>
        </is>
      </c>
      <c r="G7" s="7" t="inlineStr">
        <is>
          <t>40.77%</t>
        </is>
      </c>
      <c r="H7" s="7" t="inlineStr">
        <is>
          <t>40.35%</t>
        </is>
      </c>
      <c r="I7" s="7" t="inlineStr">
        <is>
          <t>41.11%</t>
        </is>
      </c>
      <c r="J7" s="7" t="inlineStr">
        <is>
          <t>39.63%</t>
        </is>
      </c>
      <c r="K7" s="7" t="inlineStr">
        <is>
          <t>40.88%</t>
        </is>
      </c>
      <c r="L7" s="7" t="inlineStr">
        <is>
          <t>41.49%</t>
        </is>
      </c>
      <c r="M7" s="7" t="inlineStr">
        <is>
          <t>43.67%</t>
        </is>
      </c>
      <c r="N7" s="6" t="str"/>
    </row>
    <row r="8">
      <c r="A8" s="9" t="inlineStr">
        <is>
          <t>Gross Margin</t>
        </is>
      </c>
      <c r="B8" s="10" t="n">
        <v>3235630.09</v>
      </c>
      <c r="C8" s="10" t="n">
        <v>1290380.48</v>
      </c>
      <c r="D8" s="10" t="n">
        <v>1479346.22</v>
      </c>
      <c r="E8" s="10" t="n">
        <v>1075570.25</v>
      </c>
      <c r="F8" s="10" t="n">
        <v>1175702.68</v>
      </c>
      <c r="G8" s="10" t="n">
        <v>1674411.38</v>
      </c>
      <c r="H8" s="10" t="n">
        <v>2571653.35</v>
      </c>
      <c r="I8" s="10" t="n">
        <v>1845054.97</v>
      </c>
      <c r="J8" s="10" t="n">
        <v>4437815.63</v>
      </c>
      <c r="K8" s="10" t="n">
        <v>3080993.66</v>
      </c>
      <c r="L8" s="10" t="n">
        <v>4413727.13</v>
      </c>
      <c r="M8" s="10" t="n">
        <v>4722271.82</v>
      </c>
      <c r="N8" s="11" t="n">
        <v>31002557.66</v>
      </c>
    </row>
    <row r="9">
      <c r="A9" s="9" t="inlineStr">
        <is>
          <t>Gross Margin %</t>
        </is>
      </c>
      <c r="B9" s="10" t="inlineStr">
        <is>
          <t>64.76%</t>
        </is>
      </c>
      <c r="C9" s="10" t="inlineStr">
        <is>
          <t>60.70%</t>
        </is>
      </c>
      <c r="D9" s="10" t="inlineStr">
        <is>
          <t>61.81%</t>
        </is>
      </c>
      <c r="E9" s="10" t="inlineStr">
        <is>
          <t>58.24%</t>
        </is>
      </c>
      <c r="F9" s="10" t="inlineStr">
        <is>
          <t>57.23%</t>
        </is>
      </c>
      <c r="G9" s="10" t="inlineStr">
        <is>
          <t>59.23%</t>
        </is>
      </c>
      <c r="H9" s="10" t="inlineStr">
        <is>
          <t>59.65%</t>
        </is>
      </c>
      <c r="I9" s="10" t="inlineStr">
        <is>
          <t>58.89%</t>
        </is>
      </c>
      <c r="J9" s="10" t="inlineStr">
        <is>
          <t>60.37%</t>
        </is>
      </c>
      <c r="K9" s="10" t="inlineStr">
        <is>
          <t>59.12%</t>
        </is>
      </c>
      <c r="L9" s="10" t="inlineStr">
        <is>
          <t>58.51%</t>
        </is>
      </c>
      <c r="M9" s="10" t="inlineStr">
        <is>
          <t>56.33%</t>
        </is>
      </c>
      <c r="N9" s="9" t="str"/>
    </row>
    <row r="10">
      <c r="A10" s="12" t="inlineStr">
        <is>
          <t>CM1 %</t>
        </is>
      </c>
      <c r="B10" s="13" t="inlineStr">
        <is>
          <t>47.37%</t>
        </is>
      </c>
      <c r="C10" s="13" t="inlineStr">
        <is>
          <t>48.34%</t>
        </is>
      </c>
      <c r="D10" s="13" t="inlineStr">
        <is>
          <t>49.15%</t>
        </is>
      </c>
      <c r="E10" s="13" t="inlineStr">
        <is>
          <t>34.63%</t>
        </is>
      </c>
      <c r="F10" s="13" t="inlineStr">
        <is>
          <t>29.15%</t>
        </is>
      </c>
      <c r="G10" s="13" t="inlineStr">
        <is>
          <t>36.31%</t>
        </is>
      </c>
      <c r="H10" s="13" t="inlineStr">
        <is>
          <t>41.57%</t>
        </is>
      </c>
      <c r="I10" s="13" t="inlineStr">
        <is>
          <t>40.08%</t>
        </is>
      </c>
      <c r="J10" s="13" t="inlineStr">
        <is>
          <t>50.75%</t>
        </is>
      </c>
      <c r="K10" s="13" t="inlineStr">
        <is>
          <t>45.91%</t>
        </is>
      </c>
      <c r="L10" s="13" t="inlineStr">
        <is>
          <t>49.63%</t>
        </is>
      </c>
      <c r="M10" s="13" t="inlineStr">
        <is>
          <t>50.17%</t>
        </is>
      </c>
      <c r="N10" s="12" t="str"/>
    </row>
    <row r="11">
      <c r="A11" s="14" t="inlineStr">
        <is>
          <t>CM2 %</t>
        </is>
      </c>
      <c r="B11" s="15" t="inlineStr">
        <is>
          <t>17.93%</t>
        </is>
      </c>
      <c r="C11" s="15" t="inlineStr">
        <is>
          <t>31.29%</t>
        </is>
      </c>
      <c r="D11" s="15" t="inlineStr">
        <is>
          <t>33.18%</t>
        </is>
      </c>
      <c r="E11" s="15" t="inlineStr">
        <is>
          <t>17.93%</t>
        </is>
      </c>
      <c r="F11" s="15" t="inlineStr">
        <is>
          <t>9.65%</t>
        </is>
      </c>
      <c r="G11" s="15" t="inlineStr">
        <is>
          <t>19.03%</t>
        </is>
      </c>
      <c r="H11" s="15" t="inlineStr">
        <is>
          <t>23.06%</t>
        </is>
      </c>
      <c r="I11" s="15" t="inlineStr">
        <is>
          <t>20.39%</t>
        </is>
      </c>
      <c r="J11" s="15" t="inlineStr">
        <is>
          <t>35.59%</t>
        </is>
      </c>
      <c r="K11" s="15" t="inlineStr">
        <is>
          <t>10.50%</t>
        </is>
      </c>
      <c r="L11" s="15" t="inlineStr">
        <is>
          <t>24.58%</t>
        </is>
      </c>
      <c r="M11" s="15" t="inlineStr">
        <is>
          <t>25.51%</t>
        </is>
      </c>
      <c r="N11" s="14" t="str"/>
    </row>
    <row r="12">
      <c r="A12" s="16" t="inlineStr">
        <is>
          <t>EBITDA %</t>
        </is>
      </c>
      <c r="B12" s="17" t="inlineStr">
        <is>
          <t>5.36%</t>
        </is>
      </c>
      <c r="C12" s="17" t="inlineStr">
        <is>
          <t>0.53%</t>
        </is>
      </c>
      <c r="D12" s="17" t="inlineStr">
        <is>
          <t>4.94%</t>
        </is>
      </c>
      <c r="E12" s="18" t="inlineStr">
        <is>
          <t>-22.82%</t>
        </is>
      </c>
      <c r="F12" s="18" t="inlineStr">
        <is>
          <t>-20.93%</t>
        </is>
      </c>
      <c r="G12" s="18" t="inlineStr">
        <is>
          <t>-5.15%</t>
        </is>
      </c>
      <c r="H12" s="17" t="inlineStr">
        <is>
          <t>3.32%</t>
        </is>
      </c>
      <c r="I12" s="18" t="inlineStr">
        <is>
          <t>-3.95%</t>
        </is>
      </c>
      <c r="J12" s="17" t="inlineStr">
        <is>
          <t>23.96%</t>
        </is>
      </c>
      <c r="K12" s="18" t="inlineStr">
        <is>
          <t>-6.82%</t>
        </is>
      </c>
      <c r="L12" s="17" t="inlineStr">
        <is>
          <t>8.17%</t>
        </is>
      </c>
      <c r="M12" s="17" t="inlineStr">
        <is>
          <t>9.30%</t>
        </is>
      </c>
      <c r="N12" s="16" t="str"/>
    </row>
    <row r="13">
      <c r="A13" s="19" t="inlineStr">
        <is>
          <t>Net Income %</t>
        </is>
      </c>
      <c r="B13" s="20" t="inlineStr">
        <is>
          <t>4.18%</t>
        </is>
      </c>
      <c r="C13" s="21" t="inlineStr">
        <is>
          <t>-2.07%</t>
        </is>
      </c>
      <c r="D13" s="21" t="inlineStr">
        <is>
          <t>-64.83%</t>
        </is>
      </c>
      <c r="E13" s="21" t="inlineStr">
        <is>
          <t>-25.66%</t>
        </is>
      </c>
      <c r="F13" s="21" t="inlineStr">
        <is>
          <t>-23.77%</t>
        </is>
      </c>
      <c r="G13" s="21" t="inlineStr">
        <is>
          <t>-7.36%</t>
        </is>
      </c>
      <c r="H13" s="20" t="inlineStr">
        <is>
          <t>1.81%</t>
        </is>
      </c>
      <c r="I13" s="21" t="inlineStr">
        <is>
          <t>-5.97%</t>
        </is>
      </c>
      <c r="J13" s="20" t="inlineStr">
        <is>
          <t>23.11%</t>
        </is>
      </c>
      <c r="K13" s="21" t="inlineStr">
        <is>
          <t>-8.06%</t>
        </is>
      </c>
      <c r="L13" s="20" t="inlineStr">
        <is>
          <t>7.52%</t>
        </is>
      </c>
      <c r="M13" s="20" t="inlineStr">
        <is>
          <t>8.93%</t>
        </is>
      </c>
      <c r="N13" s="19" t="str"/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cols>
    <col width="35.83203125" customWidth="1" style="2" min="1" max="1"/>
    <col width="10.83203125" customWidth="1" style="2" min="2" max="2"/>
    <col width="10.83203125" customWidth="1" style="2" min="3" max="3"/>
    <col width="10.83203125" customWidth="1" style="2" min="4" max="4"/>
    <col width="10.83203125" customWidth="1" style="2" min="5" max="5"/>
    <col width="10.83203125" customWidth="1" style="2" min="6" max="6"/>
    <col width="10.83203125" customWidth="1" style="2" min="7" max="7"/>
    <col width="10.83203125" customWidth="1" style="2" min="8" max="8"/>
    <col width="10.83203125" customWidth="1" style="2" min="9" max="9"/>
    <col width="10.83203125" customWidth="1" style="2" min="10" max="10"/>
    <col width="10.83203125" customWidth="1" style="2" min="11" max="11"/>
    <col width="10.83203125" customWidth="1" style="2" min="12" max="12"/>
    <col width="10.83203125" customWidth="1" style="2" min="13" max="13"/>
    <col width="12.83203125" customWidth="1" style="2" min="14" max="14"/>
    <col width="8.83203125" customWidth="1" style="2" min="15" max="15"/>
  </cols>
  <sheetData>
    <row r="1">
      <c r="A1" s="40" t="inlineStr">
        <is>
          <t>FY 2026-27 - PROFIT &amp; LOSS STATEMENT</t>
        </is>
      </c>
    </row>
    <row r="2">
      <c r="A2" s="41" t="inlineStr">
        <is>
          <t>Heatronics Pvt Ltd | April 2025 to March 2026</t>
        </is>
      </c>
    </row>
    <row r="4">
      <c r="A4" s="42" t="inlineStr">
        <is>
          <t>Net Revenue = Gross Revenue - Returns - Taxes (GST) | All values in INR</t>
        </is>
      </c>
    </row>
    <row r="6">
      <c r="A6" s="5" t="inlineStr">
        <is>
          <t>Particulars</t>
        </is>
      </c>
      <c r="B6" s="5" t="inlineStr">
        <is>
          <t>Apr'26</t>
        </is>
      </c>
      <c r="C6" s="5" t="inlineStr">
        <is>
          <t>May'26</t>
        </is>
      </c>
      <c r="D6" s="5" t="inlineStr">
        <is>
          <t>Jun'26</t>
        </is>
      </c>
      <c r="E6" s="5" t="inlineStr">
        <is>
          <t>Jul'26</t>
        </is>
      </c>
      <c r="F6" s="5" t="inlineStr">
        <is>
          <t>Aug'26</t>
        </is>
      </c>
      <c r="G6" s="5" t="inlineStr">
        <is>
          <t>Sep'26</t>
        </is>
      </c>
      <c r="H6" s="5" t="inlineStr">
        <is>
          <t>Oct'26</t>
        </is>
      </c>
      <c r="I6" s="5" t="inlineStr">
        <is>
          <t>Nov'26</t>
        </is>
      </c>
      <c r="J6" s="5" t="inlineStr">
        <is>
          <t>Dec'26</t>
        </is>
      </c>
      <c r="K6" s="5" t="inlineStr">
        <is>
          <t>Jan'27</t>
        </is>
      </c>
      <c r="L6" s="5" t="inlineStr">
        <is>
          <t>Feb'27</t>
        </is>
      </c>
      <c r="M6" s="5" t="inlineStr">
        <is>
          <t>Mar'27</t>
        </is>
      </c>
      <c r="N6" s="5" t="inlineStr">
        <is>
          <t>FY Total</t>
        </is>
      </c>
      <c r="O6" s="5" t="inlineStr">
        <is>
          <t>% Rev</t>
        </is>
      </c>
    </row>
    <row r="7">
      <c r="A7" s="9" t="inlineStr">
        <is>
          <t>NET REVENUE</t>
        </is>
      </c>
      <c r="B7" s="10" t="n">
        <v>4187000</v>
      </c>
      <c r="C7" s="10" t="n">
        <v>6716000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>
        <v>10903000</v>
      </c>
      <c r="O7" s="10" t="inlineStr">
        <is>
          <t>100.00%</t>
        </is>
      </c>
    </row>
    <row r="8"/>
    <row r="9">
      <c r="A9" s="24" t="inlineStr">
        <is>
          <t>E. COST OF GOODS MANUFACTURED</t>
        </is>
      </c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>
      <c r="A10" s="6" t="inlineStr">
        <is>
          <t xml:space="preserve">    COGM Total</t>
        </is>
      </c>
      <c r="B10" s="25" t="n">
        <v>-3392000</v>
      </c>
      <c r="C10" s="25" t="n">
        <v>-1057000</v>
      </c>
      <c r="D10" s="25" t="n"/>
      <c r="E10" s="25" t="n"/>
      <c r="F10" s="25" t="n"/>
      <c r="G10" s="25" t="n"/>
      <c r="H10" s="25" t="n"/>
      <c r="I10" s="25" t="n"/>
      <c r="J10" s="25" t="n"/>
      <c r="K10" s="7" t="n"/>
      <c r="L10" s="7" t="n"/>
      <c r="M10" s="7" t="n"/>
      <c r="N10" s="8" t="n">
        <v>-4449000</v>
      </c>
      <c r="O10" s="7" t="inlineStr">
        <is>
          <t>40.81%</t>
        </is>
      </c>
    </row>
    <row r="11"/>
    <row r="12">
      <c r="A12" s="9" t="inlineStr">
        <is>
          <t>GROSS MARGIN</t>
        </is>
      </c>
      <c r="B12" s="10" t="n">
        <v>795000</v>
      </c>
      <c r="C12" s="10" t="n">
        <v>5659000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>
        <v>6454000</v>
      </c>
      <c r="O12" s="10" t="inlineStr">
        <is>
          <t>59.19%</t>
        </is>
      </c>
    </row>
    <row r="13"/>
    <row r="14">
      <c r="A14" s="24" t="inlineStr">
        <is>
          <t>F. CHANNEL &amp; FULFILLMENT</t>
        </is>
      </c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</row>
    <row r="15">
      <c r="A15" s="6" t="inlineStr">
        <is>
          <t xml:space="preserve">    Channel Total</t>
        </is>
      </c>
      <c r="B15" s="25" t="n">
        <v>-901000</v>
      </c>
      <c r="C15" s="25" t="n">
        <v>-377000</v>
      </c>
      <c r="D15" s="25" t="n"/>
      <c r="E15" s="25" t="n"/>
      <c r="F15" s="25" t="n"/>
      <c r="G15" s="25" t="n"/>
      <c r="H15" s="25" t="n"/>
      <c r="I15" s="25" t="n"/>
      <c r="J15" s="25" t="n"/>
      <c r="K15" s="7" t="n"/>
      <c r="L15" s="7" t="n"/>
      <c r="M15" s="7" t="n"/>
      <c r="N15" s="8" t="n">
        <v>-1278000</v>
      </c>
      <c r="O15" s="7" t="inlineStr">
        <is>
          <t>11.72%</t>
        </is>
      </c>
    </row>
    <row r="16"/>
    <row r="17">
      <c r="A17" s="12" t="inlineStr">
        <is>
          <t>CM1</t>
        </is>
      </c>
      <c r="B17" s="13" t="n">
        <v>-106000</v>
      </c>
      <c r="C17" s="13" t="n">
        <v>5282000</v>
      </c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>
        <v>5176000</v>
      </c>
      <c r="O17" s="13" t="inlineStr">
        <is>
          <t>47.47%</t>
        </is>
      </c>
    </row>
    <row r="18"/>
    <row r="19">
      <c r="A19" s="24" t="inlineStr">
        <is>
          <t>G. SALES &amp; MARKETING</t>
        </is>
      </c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</row>
    <row r="20">
      <c r="A20" s="6" t="inlineStr">
        <is>
          <t xml:space="preserve">    Marketing Total</t>
        </is>
      </c>
      <c r="B20" s="25" t="n">
        <v>-2301000</v>
      </c>
      <c r="C20" s="25" t="n">
        <v>-1926000</v>
      </c>
      <c r="D20" s="25" t="n"/>
      <c r="E20" s="25" t="n"/>
      <c r="F20" s="25" t="n"/>
      <c r="G20" s="25" t="n"/>
      <c r="H20" s="25" t="n"/>
      <c r="I20" s="25" t="n"/>
      <c r="J20" s="25" t="n"/>
      <c r="K20" s="7" t="n"/>
      <c r="L20" s="7" t="n"/>
      <c r="M20" s="7" t="n"/>
      <c r="N20" s="8" t="n">
        <v>-4227000</v>
      </c>
      <c r="O20" s="7" t="inlineStr">
        <is>
          <t>38.77%</t>
        </is>
      </c>
    </row>
    <row r="21"/>
    <row r="22">
      <c r="A22" s="14" t="inlineStr">
        <is>
          <t>CM2</t>
        </is>
      </c>
      <c r="B22" s="15" t="n">
        <v>-2407000</v>
      </c>
      <c r="C22" s="15" t="n">
        <v>3356000</v>
      </c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>
        <v>949000</v>
      </c>
      <c r="O22" s="15" t="inlineStr">
        <is>
          <t>8.70%</t>
        </is>
      </c>
    </row>
    <row r="23"/>
    <row r="24">
      <c r="A24" s="24" t="inlineStr">
        <is>
          <t>H. PLATFORM COSTS</t>
        </is>
      </c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</row>
    <row r="25">
      <c r="A25" s="6" t="inlineStr">
        <is>
          <t xml:space="preserve">    Platform Total</t>
        </is>
      </c>
      <c r="B25" s="25" t="n">
        <v>-18000</v>
      </c>
      <c r="C25" s="25" t="n">
        <v>-2000</v>
      </c>
      <c r="D25" s="25" t="n"/>
      <c r="E25" s="25" t="n"/>
      <c r="F25" s="25" t="n"/>
      <c r="G25" s="25" t="n"/>
      <c r="H25" s="25" t="n"/>
      <c r="I25" s="25" t="n"/>
      <c r="J25" s="25" t="n"/>
      <c r="K25" s="7" t="n"/>
      <c r="L25" s="7" t="n"/>
      <c r="M25" s="7" t="n"/>
      <c r="N25" s="8" t="n">
        <v>-20000</v>
      </c>
      <c r="O25" s="7" t="inlineStr">
        <is>
          <t>0.18%</t>
        </is>
      </c>
    </row>
    <row r="26"/>
    <row r="27">
      <c r="A27" s="26" t="inlineStr">
        <is>
          <t>CM3</t>
        </is>
      </c>
      <c r="B27" s="27" t="n">
        <v>-2425000</v>
      </c>
      <c r="C27" s="27" t="n">
        <v>3354000</v>
      </c>
      <c r="D27" s="27" t="n"/>
      <c r="E27" s="27" t="n"/>
      <c r="F27" s="27" t="n"/>
      <c r="G27" s="27" t="n"/>
      <c r="H27" s="27" t="n"/>
      <c r="I27" s="27" t="n"/>
      <c r="J27" s="27" t="n"/>
      <c r="K27" s="27" t="n"/>
      <c r="L27" s="27" t="n"/>
      <c r="M27" s="27" t="n"/>
      <c r="N27" s="27" t="n">
        <v>929000</v>
      </c>
      <c r="O27" s="27" t="inlineStr">
        <is>
          <t>8.52%</t>
        </is>
      </c>
    </row>
    <row r="28"/>
    <row r="29">
      <c r="A29" s="24" t="inlineStr">
        <is>
          <t>I. OPERATING EXPENSES</t>
        </is>
      </c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</row>
    <row r="30">
      <c r="A30" s="6" t="inlineStr">
        <is>
          <t xml:space="preserve">    OpEx Total</t>
        </is>
      </c>
      <c r="B30" s="25" t="n">
        <v>-307000</v>
      </c>
      <c r="C30" s="25" t="n">
        <v>-285000</v>
      </c>
      <c r="D30" s="25" t="n"/>
      <c r="E30" s="25" t="n"/>
      <c r="F30" s="25" t="n"/>
      <c r="G30" s="25" t="n"/>
      <c r="H30" s="25" t="n"/>
      <c r="I30" s="25" t="n"/>
      <c r="J30" s="25" t="n"/>
      <c r="K30" s="7" t="n"/>
      <c r="L30" s="7" t="n"/>
      <c r="M30" s="7" t="n"/>
      <c r="N30" s="8" t="n">
        <v>-592000</v>
      </c>
      <c r="O30" s="7" t="inlineStr">
        <is>
          <t>5.43%</t>
        </is>
      </c>
    </row>
    <row r="31"/>
    <row r="32">
      <c r="A32" s="16" t="inlineStr">
        <is>
          <t>EBITDA</t>
        </is>
      </c>
      <c r="B32" s="18" t="n">
        <v>-2732000</v>
      </c>
      <c r="C32" s="18" t="n">
        <v>3069000</v>
      </c>
      <c r="D32" s="18" t="n"/>
      <c r="E32" s="17" t="n"/>
      <c r="F32" s="18" t="n"/>
      <c r="G32" s="17" t="n"/>
      <c r="H32" s="18" t="n"/>
      <c r="I32" s="17" t="n"/>
      <c r="J32" s="17" t="n"/>
      <c r="K32" s="17" t="n"/>
      <c r="L32" s="17" t="n"/>
      <c r="M32" s="17" t="n"/>
      <c r="N32" s="17" t="n">
        <v>337000</v>
      </c>
      <c r="O32" s="17" t="inlineStr">
        <is>
          <t>3.09%</t>
        </is>
      </c>
    </row>
    <row r="33"/>
    <row r="34">
      <c r="A34" s="24" t="inlineStr">
        <is>
          <t>J. NON-OPERATING</t>
        </is>
      </c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</row>
    <row r="35">
      <c r="A35" s="6" t="inlineStr">
        <is>
          <t xml:space="preserve">    Non-Op Total</t>
        </is>
      </c>
      <c r="B35" s="25" t="n">
        <v>-149000</v>
      </c>
      <c r="C35" s="25" t="n">
        <v>-2830000</v>
      </c>
      <c r="D35" s="25" t="n"/>
      <c r="E35" s="25" t="n"/>
      <c r="F35" s="25" t="n"/>
      <c r="G35" s="25" t="n"/>
      <c r="H35" s="25" t="n"/>
      <c r="I35" s="25" t="n"/>
      <c r="J35" s="25" t="n"/>
      <c r="K35" s="7" t="n"/>
      <c r="L35" s="7" t="n"/>
      <c r="M35" s="7" t="n"/>
      <c r="N35" s="8" t="n">
        <v>-2979000</v>
      </c>
      <c r="O35" s="7" t="inlineStr">
        <is>
          <t>27.32%</t>
        </is>
      </c>
    </row>
    <row r="36"/>
    <row r="37"/>
    <row r="38">
      <c r="A38" s="19" t="inlineStr">
        <is>
          <t>NET INCOME</t>
        </is>
      </c>
      <c r="B38" s="21" t="n">
        <v>-2881000</v>
      </c>
      <c r="C38" s="21" t="n">
        <v>239000</v>
      </c>
      <c r="D38" s="21" t="n"/>
      <c r="E38" s="20" t="n"/>
      <c r="F38" s="21" t="n"/>
      <c r="G38" s="20" t="n"/>
      <c r="H38" s="21" t="n"/>
      <c r="I38" s="20" t="n"/>
      <c r="J38" s="20" t="n"/>
      <c r="K38" s="20" t="n"/>
      <c r="L38" s="20" t="n"/>
      <c r="M38" s="20" t="n"/>
      <c r="N38" s="20" t="n">
        <v>-2642000</v>
      </c>
      <c r="O38" s="20" t="inlineStr">
        <is>
          <t>-24.23%</t>
        </is>
      </c>
    </row>
  </sheetData>
  <mergeCells count="3">
    <mergeCell ref="A1:O1"/>
    <mergeCell ref="A4:O4"/>
    <mergeCell ref="A2:O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cols>
    <col width="35.83203125" customWidth="1" style="2" min="1" max="1"/>
    <col width="10.83203125" customWidth="1" style="2" min="2" max="2"/>
    <col width="10.83203125" customWidth="1" style="2" min="3" max="3"/>
    <col width="10.83203125" customWidth="1" style="2" min="4" max="4"/>
    <col width="10.83203125" customWidth="1" style="2" min="5" max="5"/>
    <col width="10.83203125" customWidth="1" style="2" min="6" max="6"/>
    <col width="10.83203125" customWidth="1" style="2" min="7" max="7"/>
    <col width="10.83203125" customWidth="1" style="2" min="8" max="8"/>
    <col width="10.83203125" customWidth="1" style="2" min="9" max="9"/>
    <col width="10.83203125" customWidth="1" style="2" min="10" max="10"/>
    <col width="10.83203125" customWidth="1" style="2" min="11" max="11"/>
    <col width="10.83203125" customWidth="1" style="2" min="12" max="12"/>
    <col width="10.83203125" customWidth="1" style="2" min="13" max="13"/>
    <col width="12.83203125" customWidth="1" style="2" min="14" max="14"/>
    <col width="8.83203125" customWidth="1" style="2" min="15" max="15"/>
  </cols>
  <sheetData>
    <row r="1">
      <c r="A1" s="40" t="inlineStr">
        <is>
          <t>FY 2025-26 - PROFIT &amp; LOSS STATEMENT</t>
        </is>
      </c>
    </row>
    <row r="2">
      <c r="A2" s="41" t="inlineStr">
        <is>
          <t>Heatronics Pvt Ltd | April 2025 to March 2026</t>
        </is>
      </c>
    </row>
    <row r="4">
      <c r="A4" s="42" t="inlineStr">
        <is>
          <t>Net Revenue = Gross Revenue - Returns - Taxes (GST) | All values in INR</t>
        </is>
      </c>
    </row>
    <row r="6">
      <c r="A6" s="5" t="inlineStr">
        <is>
          <t>Particulars</t>
        </is>
      </c>
      <c r="B6" s="5" t="inlineStr">
        <is>
          <t>Apr'25</t>
        </is>
      </c>
      <c r="C6" s="5" t="inlineStr">
        <is>
          <t>May'25</t>
        </is>
      </c>
      <c r="D6" s="5" t="inlineStr">
        <is>
          <t>Jun'25</t>
        </is>
      </c>
      <c r="E6" s="5" t="inlineStr">
        <is>
          <t>Jul'25</t>
        </is>
      </c>
      <c r="F6" s="5" t="inlineStr">
        <is>
          <t>Aug'25</t>
        </is>
      </c>
      <c r="G6" s="5" t="inlineStr">
        <is>
          <t>Sep'25</t>
        </is>
      </c>
      <c r="H6" s="5" t="inlineStr">
        <is>
          <t>Oct'25</t>
        </is>
      </c>
      <c r="I6" s="5" t="inlineStr">
        <is>
          <t>Nov'25</t>
        </is>
      </c>
      <c r="J6" s="5" t="inlineStr">
        <is>
          <t>Dec'25</t>
        </is>
      </c>
      <c r="K6" s="5" t="inlineStr">
        <is>
          <t>Jan'26</t>
        </is>
      </c>
      <c r="L6" s="5" t="inlineStr">
        <is>
          <t>Feb'26</t>
        </is>
      </c>
      <c r="M6" s="5" t="inlineStr">
        <is>
          <t>Mar'26</t>
        </is>
      </c>
      <c r="N6" s="5" t="inlineStr">
        <is>
          <t>FY Total</t>
        </is>
      </c>
      <c r="O6" s="5" t="inlineStr">
        <is>
          <t>% Rev</t>
        </is>
      </c>
    </row>
    <row r="7">
      <c r="A7" s="9" t="inlineStr">
        <is>
          <t>NET REVENUE</t>
        </is>
      </c>
      <c r="B7" s="10" t="n">
        <v>1846907.43</v>
      </c>
      <c r="C7" s="10" t="n">
        <v>2054352.57</v>
      </c>
      <c r="D7" s="10" t="n">
        <v>2827123.84</v>
      </c>
      <c r="E7" s="10" t="n">
        <v>4311263.85</v>
      </c>
      <c r="F7" s="10" t="n">
        <v>3132803.45</v>
      </c>
      <c r="G7" s="10" t="n">
        <v>7351630.03</v>
      </c>
      <c r="H7" s="10" t="n">
        <v>5211048.81</v>
      </c>
      <c r="I7" s="10" t="n">
        <v>7543812.79</v>
      </c>
      <c r="J7" s="10" t="n">
        <v>8382505.69</v>
      </c>
      <c r="K7" s="10" t="n">
        <v>6367023.72</v>
      </c>
      <c r="L7" s="10" t="n">
        <v>4490976.9</v>
      </c>
      <c r="M7" s="10" t="n">
        <v>3850817.34</v>
      </c>
      <c r="N7" s="10" t="n">
        <v>57370266.42</v>
      </c>
      <c r="O7" s="10" t="inlineStr">
        <is>
          <t>100.00%</t>
        </is>
      </c>
    </row>
    <row r="9">
      <c r="A9" s="24" t="inlineStr">
        <is>
          <t>E. COST OF GOODS MANUFACTURED</t>
        </is>
      </c>
      <c r="B9" s="24" t="str"/>
      <c r="C9" s="24" t="str"/>
      <c r="D9" s="24" t="str"/>
      <c r="E9" s="24" t="str"/>
      <c r="F9" s="24" t="str"/>
      <c r="G9" s="24" t="str"/>
      <c r="H9" s="24" t="str"/>
      <c r="I9" s="24" t="str"/>
      <c r="J9" s="24" t="str"/>
      <c r="K9" s="24" t="str"/>
      <c r="L9" s="24" t="str"/>
      <c r="M9" s="24" t="str"/>
      <c r="N9" s="24" t="str"/>
      <c r="O9" s="24" t="str"/>
    </row>
    <row r="10">
      <c r="A10" s="6" t="inlineStr">
        <is>
          <t xml:space="preserve">    COGM Total</t>
        </is>
      </c>
      <c r="B10" s="25" t="n">
        <v>-771337.1800000001</v>
      </c>
      <c r="C10" s="25" t="n">
        <v>-878649.89</v>
      </c>
      <c r="D10" s="25" t="n">
        <v>-1152712.46</v>
      </c>
      <c r="E10" s="25" t="n">
        <v>-1739610.5</v>
      </c>
      <c r="F10" s="25" t="n">
        <v>-1287748.48</v>
      </c>
      <c r="G10" s="25" t="n">
        <v>-2913814.4</v>
      </c>
      <c r="H10" s="25" t="n">
        <v>-2130055.15</v>
      </c>
      <c r="I10" s="25" t="n">
        <v>-3130085.66</v>
      </c>
      <c r="J10" s="25" t="n">
        <v>-3660233.87</v>
      </c>
      <c r="K10" s="7" t="n">
        <v>-6545778.53</v>
      </c>
      <c r="L10" s="7" t="n">
        <v>-1239592.43</v>
      </c>
      <c r="M10" s="7" t="n">
        <v>-4431306.12</v>
      </c>
      <c r="N10" s="8" t="n">
        <v>-29880924.67</v>
      </c>
      <c r="O10" s="7" t="inlineStr">
        <is>
          <t>52.08%</t>
        </is>
      </c>
    </row>
    <row r="12">
      <c r="A12" s="9" t="inlineStr">
        <is>
          <t>GROSS MARGIN</t>
        </is>
      </c>
      <c r="B12" s="10" t="n">
        <v>1075570.25</v>
      </c>
      <c r="C12" s="10" t="n">
        <v>1175702.68</v>
      </c>
      <c r="D12" s="10" t="n">
        <v>1674411.38</v>
      </c>
      <c r="E12" s="10" t="n">
        <v>2571653.35</v>
      </c>
      <c r="F12" s="10" t="n">
        <v>1845054.97</v>
      </c>
      <c r="G12" s="10" t="n">
        <v>4437815.63</v>
      </c>
      <c r="H12" s="10" t="n">
        <v>3080993.66</v>
      </c>
      <c r="I12" s="10" t="n">
        <v>4413727.13</v>
      </c>
      <c r="J12" s="10" t="n">
        <v>4722271.82</v>
      </c>
      <c r="K12" s="10" t="n">
        <v>-178754.81</v>
      </c>
      <c r="L12" s="10" t="n">
        <v>3251384.47</v>
      </c>
      <c r="M12" s="10" t="n">
        <v>-580488.78</v>
      </c>
      <c r="N12" s="10" t="n">
        <v>27489341.75</v>
      </c>
      <c r="O12" s="10" t="inlineStr">
        <is>
          <t>47.92%</t>
        </is>
      </c>
    </row>
    <row r="14">
      <c r="A14" s="24" t="inlineStr">
        <is>
          <t>F. CHANNEL &amp; FULFILLMENT</t>
        </is>
      </c>
      <c r="B14" s="24" t="str"/>
      <c r="C14" s="24" t="str"/>
      <c r="D14" s="24" t="str"/>
      <c r="E14" s="24" t="str"/>
      <c r="F14" s="24" t="str"/>
      <c r="G14" s="24" t="str"/>
      <c r="H14" s="24" t="str"/>
      <c r="I14" s="24" t="str"/>
      <c r="J14" s="24" t="str"/>
      <c r="K14" s="24" t="str"/>
      <c r="L14" s="24" t="str"/>
      <c r="M14" s="24" t="str"/>
      <c r="N14" s="24" t="str"/>
      <c r="O14" s="24" t="str"/>
    </row>
    <row r="15">
      <c r="A15" s="6" t="inlineStr">
        <is>
          <t xml:space="preserve">    Channel Total</t>
        </is>
      </c>
      <c r="B15" s="25" t="n">
        <v>-436068.37</v>
      </c>
      <c r="C15" s="25" t="n">
        <v>-576932.23</v>
      </c>
      <c r="D15" s="25" t="n">
        <v>-648003.64</v>
      </c>
      <c r="E15" s="25" t="n">
        <v>-779524.9300000001</v>
      </c>
      <c r="F15" s="25" t="n">
        <v>-589374.75</v>
      </c>
      <c r="G15" s="25" t="n">
        <v>-706997.54</v>
      </c>
      <c r="H15" s="25" t="n">
        <v>-688845.33</v>
      </c>
      <c r="I15" s="25" t="n">
        <v>-669409.38</v>
      </c>
      <c r="J15" s="25" t="n">
        <v>-516526.7</v>
      </c>
      <c r="K15" s="7" t="n">
        <v>-48010.14</v>
      </c>
      <c r="L15" s="7" t="n">
        <v>-125818.93</v>
      </c>
      <c r="M15" s="7" t="n">
        <v>-307615.24</v>
      </c>
      <c r="N15" s="8" t="n">
        <v>-6093127.18</v>
      </c>
      <c r="O15" s="7" t="inlineStr">
        <is>
          <t>10.62%</t>
        </is>
      </c>
    </row>
    <row r="17">
      <c r="A17" s="12" t="inlineStr">
        <is>
          <t>CM1</t>
        </is>
      </c>
      <c r="B17" s="13" t="n">
        <v>639501.88</v>
      </c>
      <c r="C17" s="13" t="n">
        <v>598770.45</v>
      </c>
      <c r="D17" s="13" t="n">
        <v>1026407.74</v>
      </c>
      <c r="E17" s="13" t="n">
        <v>1792128.42</v>
      </c>
      <c r="F17" s="13" t="n">
        <v>1255680.22</v>
      </c>
      <c r="G17" s="13" t="n">
        <v>3730818.09</v>
      </c>
      <c r="H17" s="13" t="n">
        <v>2392148.33</v>
      </c>
      <c r="I17" s="13" t="n">
        <v>3744317.75</v>
      </c>
      <c r="J17" s="13" t="n">
        <v>4205745.12</v>
      </c>
      <c r="K17" s="13" t="n">
        <v>-226764.95</v>
      </c>
      <c r="L17" s="13" t="n">
        <v>3125565.54</v>
      </c>
      <c r="M17" s="13" t="n">
        <v>-888104.02</v>
      </c>
      <c r="N17" s="13" t="n">
        <v>21396214.57</v>
      </c>
      <c r="O17" s="13" t="inlineStr">
        <is>
          <t>37.29%</t>
        </is>
      </c>
    </row>
    <row r="19">
      <c r="A19" s="24" t="inlineStr">
        <is>
          <t>G. SALES &amp; MARKETING</t>
        </is>
      </c>
      <c r="B19" s="24" t="str"/>
      <c r="C19" s="24" t="str"/>
      <c r="D19" s="24" t="str"/>
      <c r="E19" s="24" t="str"/>
      <c r="F19" s="24" t="str"/>
      <c r="G19" s="24" t="str"/>
      <c r="H19" s="24" t="str"/>
      <c r="I19" s="24" t="str"/>
      <c r="J19" s="24" t="str"/>
      <c r="K19" s="24" t="str"/>
      <c r="L19" s="24" t="str"/>
      <c r="M19" s="24" t="str"/>
      <c r="N19" s="24" t="str"/>
      <c r="O19" s="24" t="str"/>
    </row>
    <row r="20">
      <c r="A20" s="6" t="inlineStr">
        <is>
          <t xml:space="preserve">    Marketing Total</t>
        </is>
      </c>
      <c r="B20" s="25" t="n">
        <v>-308361.75</v>
      </c>
      <c r="C20" s="25" t="n">
        <v>-400593.27</v>
      </c>
      <c r="D20" s="25" t="n">
        <v>-488527.37</v>
      </c>
      <c r="E20" s="25" t="n">
        <v>-798072.33</v>
      </c>
      <c r="F20" s="25" t="n">
        <v>-617050.79</v>
      </c>
      <c r="G20" s="25" t="n">
        <v>-1114137.57</v>
      </c>
      <c r="H20" s="25" t="n">
        <v>-1844765.5</v>
      </c>
      <c r="I20" s="25" t="n">
        <v>-1890185.84</v>
      </c>
      <c r="J20" s="25" t="n">
        <v>-2067204.97</v>
      </c>
      <c r="K20" s="7" t="n">
        <v>-80122.72</v>
      </c>
      <c r="L20" s="7" t="n">
        <v>-109919.32</v>
      </c>
      <c r="M20" s="7" t="n">
        <v>-2038965.65</v>
      </c>
      <c r="N20" s="8" t="n">
        <v>-11757907.08</v>
      </c>
      <c r="O20" s="7" t="inlineStr">
        <is>
          <t>20.49%</t>
        </is>
      </c>
    </row>
    <row r="22">
      <c r="A22" s="14" t="inlineStr">
        <is>
          <t>CM2</t>
        </is>
      </c>
      <c r="B22" s="15" t="n">
        <v>331140.13</v>
      </c>
      <c r="C22" s="15" t="n">
        <v>198177.18</v>
      </c>
      <c r="D22" s="15" t="n">
        <v>537880.37</v>
      </c>
      <c r="E22" s="15" t="n">
        <v>994056.09</v>
      </c>
      <c r="F22" s="15" t="n">
        <v>638629.4300000001</v>
      </c>
      <c r="G22" s="15" t="n">
        <v>2616680.52</v>
      </c>
      <c r="H22" s="15" t="n">
        <v>547382.83</v>
      </c>
      <c r="I22" s="15" t="n">
        <v>1854131.91</v>
      </c>
      <c r="J22" s="15" t="n">
        <v>2138540.15</v>
      </c>
      <c r="K22" s="15" t="n">
        <v>-306887.67</v>
      </c>
      <c r="L22" s="15" t="n">
        <v>3015646.22</v>
      </c>
      <c r="M22" s="15" t="n">
        <v>-2927069.67</v>
      </c>
      <c r="N22" s="15" t="n">
        <v>9638307.49</v>
      </c>
      <c r="O22" s="15" t="inlineStr">
        <is>
          <t>16.80%</t>
        </is>
      </c>
    </row>
    <row r="24">
      <c r="A24" s="24" t="inlineStr">
        <is>
          <t>H. PLATFORM COSTS</t>
        </is>
      </c>
      <c r="B24" s="24" t="str"/>
      <c r="C24" s="24" t="str"/>
      <c r="D24" s="24" t="str"/>
      <c r="E24" s="24" t="str"/>
      <c r="F24" s="24" t="str"/>
      <c r="G24" s="24" t="str"/>
      <c r="H24" s="24" t="str"/>
      <c r="I24" s="24" t="str"/>
      <c r="J24" s="24" t="str"/>
      <c r="K24" s="24" t="str"/>
      <c r="L24" s="24" t="str"/>
      <c r="M24" s="24" t="str"/>
      <c r="N24" s="24" t="str"/>
      <c r="O24" s="24" t="str"/>
    </row>
    <row r="25">
      <c r="A25" s="6" t="inlineStr">
        <is>
          <t xml:space="preserve">    Platform Total</t>
        </is>
      </c>
      <c r="B25" s="25" t="n">
        <v>-175.53</v>
      </c>
      <c r="C25" s="25" t="n">
        <v>-5699.7</v>
      </c>
      <c r="D25" s="25" t="n">
        <v>-6882.69</v>
      </c>
      <c r="E25" s="25" t="n">
        <v>-147.1</v>
      </c>
      <c r="F25" s="25" t="n">
        <v>-399.79</v>
      </c>
      <c r="G25" s="25" t="n">
        <v>-989.58</v>
      </c>
      <c r="H25" s="25" t="n">
        <v>-4650.72</v>
      </c>
      <c r="I25" s="25" t="n">
        <v>-145323.42</v>
      </c>
      <c r="J25" s="25" t="n">
        <v>-98370</v>
      </c>
      <c r="K25" s="7" t="n">
        <v>-1195.1</v>
      </c>
      <c r="L25" s="7" t="n">
        <v>-78155</v>
      </c>
      <c r="M25" s="7" t="n">
        <v>-24789.27</v>
      </c>
      <c r="N25" s="8" t="n">
        <v>-366777.9</v>
      </c>
      <c r="O25" s="7" t="inlineStr">
        <is>
          <t>0.64%</t>
        </is>
      </c>
    </row>
    <row r="27">
      <c r="A27" s="26" t="inlineStr">
        <is>
          <t>CM3</t>
        </is>
      </c>
      <c r="B27" s="27" t="n">
        <v>330964.6</v>
      </c>
      <c r="C27" s="27" t="n">
        <v>192477.48</v>
      </c>
      <c r="D27" s="27" t="n">
        <v>530997.6800000001</v>
      </c>
      <c r="E27" s="27" t="n">
        <v>993908.99</v>
      </c>
      <c r="F27" s="27" t="n">
        <v>638229.64</v>
      </c>
      <c r="G27" s="27" t="n">
        <v>2615690.94</v>
      </c>
      <c r="H27" s="27" t="n">
        <v>542732.11</v>
      </c>
      <c r="I27" s="27" t="n">
        <v>1708808.49</v>
      </c>
      <c r="J27" s="27" t="n">
        <v>2040170.15</v>
      </c>
      <c r="K27" s="27" t="n">
        <v>-308082.77</v>
      </c>
      <c r="L27" s="27" t="n">
        <v>2937491.22</v>
      </c>
      <c r="M27" s="27" t="n">
        <v>-2951858.94</v>
      </c>
      <c r="N27" s="27" t="n">
        <v>9271529.59</v>
      </c>
      <c r="O27" s="27" t="inlineStr">
        <is>
          <t>16.16%</t>
        </is>
      </c>
    </row>
    <row r="29">
      <c r="A29" s="24" t="inlineStr">
        <is>
          <t>I. OPERATING EXPENSES</t>
        </is>
      </c>
      <c r="B29" s="24" t="str"/>
      <c r="C29" s="24" t="str"/>
      <c r="D29" s="24" t="str"/>
      <c r="E29" s="24" t="str"/>
      <c r="F29" s="24" t="str"/>
      <c r="G29" s="24" t="str"/>
      <c r="H29" s="24" t="str"/>
      <c r="I29" s="24" t="str"/>
      <c r="J29" s="24" t="str"/>
      <c r="K29" s="24" t="str"/>
      <c r="L29" s="24" t="str"/>
      <c r="M29" s="24" t="str"/>
      <c r="N29" s="24" t="str"/>
      <c r="O29" s="24" t="str"/>
    </row>
    <row r="30">
      <c r="A30" s="6" t="inlineStr">
        <is>
          <t xml:space="preserve">    OpEx Total</t>
        </is>
      </c>
      <c r="B30" s="25" t="n">
        <v>-752348.15</v>
      </c>
      <c r="C30" s="25" t="n">
        <v>-622381.5</v>
      </c>
      <c r="D30" s="25" t="n">
        <v>-676512.0600000001</v>
      </c>
      <c r="E30" s="25" t="n">
        <v>-850808.85</v>
      </c>
      <c r="F30" s="25" t="n">
        <v>-762086.89</v>
      </c>
      <c r="G30" s="25" t="n">
        <v>-854117.53</v>
      </c>
      <c r="H30" s="25" t="n">
        <v>-897999.85</v>
      </c>
      <c r="I30" s="25" t="n">
        <v>-1092674.66</v>
      </c>
      <c r="J30" s="25" t="n">
        <v>-1260413.41</v>
      </c>
      <c r="K30" s="7" t="n">
        <v>-567289.4399999999</v>
      </c>
      <c r="L30" s="7" t="n">
        <v>-1683425.77</v>
      </c>
      <c r="M30" s="7" t="n">
        <v>-1670024.91</v>
      </c>
      <c r="N30" s="8" t="n">
        <v>-11690083.02</v>
      </c>
      <c r="O30" s="7" t="inlineStr">
        <is>
          <t>20.38%</t>
        </is>
      </c>
    </row>
    <row r="32">
      <c r="A32" s="16" t="inlineStr">
        <is>
          <t>EBITDA</t>
        </is>
      </c>
      <c r="B32" s="18" t="n">
        <v>-421383.55</v>
      </c>
      <c r="C32" s="18" t="n">
        <v>-429904.02</v>
      </c>
      <c r="D32" s="18" t="n">
        <v>-145514.38</v>
      </c>
      <c r="E32" s="17" t="n">
        <v>143100.14</v>
      </c>
      <c r="F32" s="18" t="n">
        <v>-123857.25</v>
      </c>
      <c r="G32" s="17" t="n">
        <v>1761573.41</v>
      </c>
      <c r="H32" s="18" t="n">
        <v>-355267.74</v>
      </c>
      <c r="I32" s="17" t="n">
        <v>616133.83</v>
      </c>
      <c r="J32" s="17" t="n">
        <v>779756.74</v>
      </c>
      <c r="K32" s="17" t="n">
        <v>-875372.21</v>
      </c>
      <c r="L32" s="17" t="n">
        <v>1254065.45</v>
      </c>
      <c r="M32" s="17" t="n">
        <v>-4621883.85</v>
      </c>
      <c r="N32" s="17" t="n">
        <v>-2418553.43</v>
      </c>
      <c r="O32" s="17" t="inlineStr">
        <is>
          <t>-4.22%</t>
        </is>
      </c>
    </row>
    <row r="34">
      <c r="A34" s="24" t="inlineStr">
        <is>
          <t>J. NON-OPERATING</t>
        </is>
      </c>
      <c r="B34" s="24" t="str"/>
      <c r="C34" s="24" t="str"/>
      <c r="D34" s="24" t="str"/>
      <c r="E34" s="24" t="str"/>
      <c r="F34" s="24" t="str"/>
      <c r="G34" s="24" t="str"/>
      <c r="H34" s="24" t="str"/>
      <c r="I34" s="24" t="str"/>
      <c r="J34" s="24" t="str"/>
      <c r="K34" s="24" t="str"/>
      <c r="L34" s="24" t="str"/>
      <c r="M34" s="24" t="str"/>
      <c r="N34" s="24" t="str"/>
      <c r="O34" s="24" t="str"/>
    </row>
    <row r="35">
      <c r="A35" s="6" t="inlineStr">
        <is>
          <t xml:space="preserve">    Non-Op Total</t>
        </is>
      </c>
      <c r="B35" s="25" t="n">
        <v>-52479</v>
      </c>
      <c r="C35" s="25" t="n">
        <v>-58328</v>
      </c>
      <c r="D35" s="25" t="n">
        <v>-62589</v>
      </c>
      <c r="E35" s="25" t="n">
        <v>-64859</v>
      </c>
      <c r="F35" s="25" t="n">
        <v>-63074</v>
      </c>
      <c r="G35" s="25" t="n">
        <v>-62805</v>
      </c>
      <c r="H35" s="25" t="n">
        <v>-64556</v>
      </c>
      <c r="I35" s="25" t="n">
        <v>-48705</v>
      </c>
      <c r="J35" s="25" t="n">
        <v>-31360</v>
      </c>
      <c r="K35" s="7" t="n">
        <v>-41501</v>
      </c>
      <c r="L35" s="7" t="n">
        <v>-77557</v>
      </c>
      <c r="M35" s="7" t="n">
        <v>-87992</v>
      </c>
      <c r="N35" s="8" t="n">
        <v>-715805</v>
      </c>
      <c r="O35" s="7" t="inlineStr">
        <is>
          <t>1.25%</t>
        </is>
      </c>
    </row>
    <row r="38">
      <c r="A38" s="19" t="inlineStr">
        <is>
          <t>NET INCOME</t>
        </is>
      </c>
      <c r="B38" s="21" t="n">
        <v>-473862.55</v>
      </c>
      <c r="C38" s="21" t="n">
        <v>-488232.02</v>
      </c>
      <c r="D38" s="21" t="n">
        <v>-208103.38</v>
      </c>
      <c r="E38" s="20" t="n">
        <v>78241.14</v>
      </c>
      <c r="F38" s="21" t="n">
        <v>-186931.25</v>
      </c>
      <c r="G38" s="20" t="n">
        <v>1698768.41</v>
      </c>
      <c r="H38" s="21" t="n">
        <v>-419823.74</v>
      </c>
      <c r="I38" s="20" t="n">
        <v>567428.83</v>
      </c>
      <c r="J38" s="20" t="n">
        <v>748396.74</v>
      </c>
      <c r="K38" s="20" t="n">
        <v>-916873.21</v>
      </c>
      <c r="L38" s="20" t="n">
        <v>1176508.45</v>
      </c>
      <c r="M38" s="20" t="n">
        <v>-4709875.85</v>
      </c>
      <c r="N38" s="20" t="n">
        <v>-3134358.43</v>
      </c>
      <c r="O38" s="20" t="inlineStr">
        <is>
          <t>-5.46%</t>
        </is>
      </c>
    </row>
  </sheetData>
  <mergeCells count="3">
    <mergeCell ref="A1:O1"/>
    <mergeCell ref="A4:O4"/>
    <mergeCell ref="A2:O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cols>
    <col width="35.83203125" customWidth="1" style="2" min="1" max="1"/>
    <col width="10.83203125" customWidth="1" style="2" min="2" max="2"/>
    <col width="10.83203125" customWidth="1" style="2" min="3" max="3"/>
    <col width="10.83203125" customWidth="1" style="2" min="4" max="4"/>
    <col width="10.83203125" customWidth="1" style="2" min="5" max="5"/>
    <col width="10.83203125" customWidth="1" style="2" min="6" max="6"/>
    <col width="10.83203125" customWidth="1" style="2" min="7" max="7"/>
    <col width="10.83203125" customWidth="1" style="2" min="8" max="8"/>
    <col width="10.83203125" customWidth="1" style="2" min="9" max="9"/>
    <col width="10.83203125" customWidth="1" style="2" min="10" max="10"/>
    <col width="10.83203125" customWidth="1" style="2" min="11" max="11"/>
    <col width="10.83203125" customWidth="1" style="2" min="12" max="12"/>
    <col width="10.83203125" customWidth="1" style="2" min="13" max="13"/>
    <col width="12.83203125" customWidth="1" style="2" min="14" max="14"/>
    <col width="8.83203125" customWidth="1" style="2" min="15" max="15"/>
  </cols>
  <sheetData>
    <row r="1">
      <c r="A1" s="40" t="inlineStr">
        <is>
          <t>FY 2024-25 - PROFIT &amp; LOSS STATEMENT</t>
        </is>
      </c>
    </row>
    <row r="2">
      <c r="A2" s="41" t="inlineStr">
        <is>
          <t>Heatronics Pvt Ltd | April 2024 to March 2025</t>
        </is>
      </c>
    </row>
    <row r="4">
      <c r="A4" s="42" t="inlineStr">
        <is>
          <t>Net Revenue = Gross Revenue - Returns - Taxes (GST) | All values in INR</t>
        </is>
      </c>
    </row>
    <row r="6">
      <c r="A6" s="5" t="inlineStr">
        <is>
          <t>Particulars</t>
        </is>
      </c>
      <c r="B6" s="5" t="inlineStr">
        <is>
          <t>Apr'24</t>
        </is>
      </c>
      <c r="C6" s="5" t="inlineStr">
        <is>
          <t>May'24</t>
        </is>
      </c>
      <c r="D6" s="5" t="inlineStr">
        <is>
          <t>Jun'24</t>
        </is>
      </c>
      <c r="E6" s="5" t="inlineStr">
        <is>
          <t>Jul'24</t>
        </is>
      </c>
      <c r="F6" s="5" t="inlineStr">
        <is>
          <t>Aug'24</t>
        </is>
      </c>
      <c r="G6" s="5" t="inlineStr">
        <is>
          <t>Sep'24</t>
        </is>
      </c>
      <c r="H6" s="5" t="inlineStr">
        <is>
          <t>Oct'24</t>
        </is>
      </c>
      <c r="I6" s="5" t="inlineStr">
        <is>
          <t>Nov'24</t>
        </is>
      </c>
      <c r="J6" s="5" t="inlineStr">
        <is>
          <t>Dec'24</t>
        </is>
      </c>
      <c r="K6" s="5" t="inlineStr">
        <is>
          <t>Jan'25</t>
        </is>
      </c>
      <c r="L6" s="5" t="inlineStr">
        <is>
          <t>Feb'25</t>
        </is>
      </c>
      <c r="M6" s="5" t="inlineStr">
        <is>
          <t>Mar'25</t>
        </is>
      </c>
      <c r="N6" s="5" t="inlineStr">
        <is>
          <t>FY Total</t>
        </is>
      </c>
      <c r="O6" s="5" t="inlineStr">
        <is>
          <t>% Rev</t>
        </is>
      </c>
    </row>
    <row r="7">
      <c r="A7" s="9" t="inlineStr">
        <is>
          <t>NET REVENUE</t>
        </is>
      </c>
      <c r="B7" s="10" t="n">
        <v>877003.03</v>
      </c>
      <c r="C7" s="10" t="n">
        <v>1393037.24</v>
      </c>
      <c r="D7" s="10" t="n">
        <v>1983066.64</v>
      </c>
      <c r="E7" s="10" t="n">
        <v>2130998.28</v>
      </c>
      <c r="F7" s="10" t="n">
        <v>2707739.45</v>
      </c>
      <c r="G7" s="10" t="n">
        <v>3827469.88</v>
      </c>
      <c r="H7" s="10" t="n">
        <v>3820130.03</v>
      </c>
      <c r="I7" s="10" t="n">
        <v>4807459.79</v>
      </c>
      <c r="J7" s="10" t="n">
        <v>6888576.22</v>
      </c>
      <c r="K7" s="10" t="n">
        <v>4996306.72</v>
      </c>
      <c r="L7" s="10" t="n">
        <v>2125881.03</v>
      </c>
      <c r="M7" s="10" t="n">
        <v>2393371.34</v>
      </c>
      <c r="N7" s="10" t="n">
        <v>37951039.65</v>
      </c>
      <c r="O7" s="10" t="inlineStr">
        <is>
          <t>100.00%</t>
        </is>
      </c>
    </row>
    <row r="9">
      <c r="A9" s="24" t="inlineStr">
        <is>
          <t>E. COST OF GOODS MANUFACTURED</t>
        </is>
      </c>
      <c r="B9" s="24" t="str"/>
      <c r="C9" s="24" t="str"/>
      <c r="D9" s="24" t="str"/>
      <c r="E9" s="24" t="str"/>
      <c r="F9" s="24" t="str"/>
      <c r="G9" s="24" t="str"/>
      <c r="H9" s="24" t="str"/>
      <c r="I9" s="24" t="str"/>
      <c r="J9" s="24" t="str"/>
      <c r="K9" s="24" t="str"/>
      <c r="L9" s="24" t="str"/>
      <c r="M9" s="24" t="str"/>
      <c r="N9" s="24" t="str"/>
      <c r="O9" s="24" t="str"/>
    </row>
    <row r="10">
      <c r="A10" s="6" t="inlineStr">
        <is>
          <t xml:space="preserve">    COGM Total</t>
        </is>
      </c>
      <c r="B10" s="25" t="n">
        <v>-453735.24</v>
      </c>
      <c r="C10" s="25" t="n">
        <v>-573129.8100000001</v>
      </c>
      <c r="D10" s="25" t="n">
        <v>-847199.47</v>
      </c>
      <c r="E10" s="25" t="n">
        <v>-816276.27</v>
      </c>
      <c r="F10" s="25" t="n">
        <v>-960000.76</v>
      </c>
      <c r="G10" s="25" t="n">
        <v>-1319582.36</v>
      </c>
      <c r="H10" s="25" t="n">
        <v>-1371050.54</v>
      </c>
      <c r="I10" s="25" t="n">
        <v>-1598135.8</v>
      </c>
      <c r="J10" s="25" t="n">
        <v>-2383391.76</v>
      </c>
      <c r="K10" s="25" t="n">
        <v>-1760676.63</v>
      </c>
      <c r="L10" s="25" t="n">
        <v>-835500.55</v>
      </c>
      <c r="M10" s="25" t="n">
        <v>-914025.12</v>
      </c>
      <c r="N10" s="8" t="n">
        <v>-13832704.32</v>
      </c>
      <c r="O10" s="7" t="inlineStr">
        <is>
          <t>36.45%</t>
        </is>
      </c>
    </row>
    <row r="12">
      <c r="A12" s="9" t="inlineStr">
        <is>
          <t>GROSS MARGIN</t>
        </is>
      </c>
      <c r="B12" s="10" t="n">
        <v>423267.79</v>
      </c>
      <c r="C12" s="10" t="n">
        <v>819907.4300000001</v>
      </c>
      <c r="D12" s="10" t="n">
        <v>1135867.17</v>
      </c>
      <c r="E12" s="10" t="n">
        <v>1314722.01</v>
      </c>
      <c r="F12" s="10" t="n">
        <v>1747738.69</v>
      </c>
      <c r="G12" s="10" t="n">
        <v>2507887.52</v>
      </c>
      <c r="H12" s="10" t="n">
        <v>2449079.49</v>
      </c>
      <c r="I12" s="10" t="n">
        <v>3209323.99</v>
      </c>
      <c r="J12" s="10" t="n">
        <v>4505184.46</v>
      </c>
      <c r="K12" s="10" t="n">
        <v>3235630.09</v>
      </c>
      <c r="L12" s="10" t="n">
        <v>1290380.48</v>
      </c>
      <c r="M12" s="10" t="n">
        <v>1479346.22</v>
      </c>
      <c r="N12" s="10" t="n">
        <v>24118335.33</v>
      </c>
      <c r="O12" s="10" t="inlineStr">
        <is>
          <t>63.55%</t>
        </is>
      </c>
    </row>
    <row r="14">
      <c r="A14" s="24" t="inlineStr">
        <is>
          <t>F. CHANNEL &amp; FULFILLMENT</t>
        </is>
      </c>
      <c r="B14" s="24" t="str"/>
      <c r="C14" s="24" t="str"/>
      <c r="D14" s="24" t="str"/>
      <c r="E14" s="24" t="str"/>
      <c r="F14" s="24" t="str"/>
      <c r="G14" s="24" t="str"/>
      <c r="H14" s="24" t="str"/>
      <c r="I14" s="24" t="str"/>
      <c r="J14" s="24" t="str"/>
      <c r="K14" s="24" t="str"/>
      <c r="L14" s="24" t="str"/>
      <c r="M14" s="24" t="str"/>
      <c r="N14" s="24" t="str"/>
      <c r="O14" s="24" t="str"/>
    </row>
    <row r="15">
      <c r="A15" s="6" t="inlineStr">
        <is>
          <t xml:space="preserve">    Channel Total</t>
        </is>
      </c>
      <c r="B15" s="25" t="n">
        <v>-8405</v>
      </c>
      <c r="C15" s="25" t="n">
        <v>-15375</v>
      </c>
      <c r="D15" s="25" t="n">
        <v>-8535</v>
      </c>
      <c r="E15" s="7" t="n">
        <v>-366</v>
      </c>
      <c r="F15" s="25" t="n">
        <v>-6221</v>
      </c>
      <c r="G15" s="25" t="n">
        <v>-8099</v>
      </c>
      <c r="H15" s="25" t="n">
        <v>-558027.96</v>
      </c>
      <c r="I15" s="25" t="n">
        <v>-886741.24</v>
      </c>
      <c r="J15" s="25" t="n">
        <v>-1051210.27</v>
      </c>
      <c r="K15" s="25" t="n">
        <v>-868659.6899999999</v>
      </c>
      <c r="L15" s="25" t="n">
        <v>-262732.75</v>
      </c>
      <c r="M15" s="25" t="n">
        <v>-302995.15</v>
      </c>
      <c r="N15" s="8" t="n">
        <v>-3976636.06</v>
      </c>
      <c r="O15" s="7" t="inlineStr">
        <is>
          <t>10.48%</t>
        </is>
      </c>
    </row>
    <row r="17">
      <c r="A17" s="12" t="inlineStr">
        <is>
          <t>CM1</t>
        </is>
      </c>
      <c r="B17" s="13" t="n">
        <v>414862.79</v>
      </c>
      <c r="C17" s="13" t="n">
        <v>804532.4300000001</v>
      </c>
      <c r="D17" s="13" t="n">
        <v>1127332.17</v>
      </c>
      <c r="E17" s="13" t="n">
        <v>1315088.01</v>
      </c>
      <c r="F17" s="13" t="n">
        <v>1741517.69</v>
      </c>
      <c r="G17" s="13" t="n">
        <v>2499788.52</v>
      </c>
      <c r="H17" s="13" t="n">
        <v>1891051.53</v>
      </c>
      <c r="I17" s="13" t="n">
        <v>2322582.75</v>
      </c>
      <c r="J17" s="13" t="n">
        <v>3453974.19</v>
      </c>
      <c r="K17" s="13" t="n">
        <v>2366970.4</v>
      </c>
      <c r="L17" s="13" t="n">
        <v>1027647.73</v>
      </c>
      <c r="M17" s="13" t="n">
        <v>1176351.07</v>
      </c>
      <c r="N17" s="13" t="n">
        <v>20141699.27</v>
      </c>
      <c r="O17" s="13" t="inlineStr">
        <is>
          <t>53.07%</t>
        </is>
      </c>
    </row>
    <row r="19">
      <c r="A19" s="24" t="inlineStr">
        <is>
          <t>G. SALES &amp; MARKETING</t>
        </is>
      </c>
      <c r="B19" s="24" t="str"/>
      <c r="C19" s="24" t="str"/>
      <c r="D19" s="24" t="str"/>
      <c r="E19" s="24" t="str"/>
      <c r="F19" s="24" t="str"/>
      <c r="G19" s="24" t="str"/>
      <c r="H19" s="24" t="str"/>
      <c r="I19" s="24" t="str"/>
      <c r="J19" s="24" t="str"/>
      <c r="K19" s="24" t="str"/>
      <c r="L19" s="24" t="str"/>
      <c r="M19" s="24" t="str"/>
      <c r="N19" s="24" t="str"/>
      <c r="O19" s="24" t="str"/>
    </row>
    <row r="20">
      <c r="A20" s="6" t="inlineStr">
        <is>
          <t xml:space="preserve">    Marketing Total</t>
        </is>
      </c>
      <c r="B20" s="25" t="n">
        <v>-340507.7</v>
      </c>
      <c r="C20" s="25" t="n">
        <v>-476482.31</v>
      </c>
      <c r="D20" s="25" t="n">
        <v>-539595.83</v>
      </c>
      <c r="E20" s="25" t="n">
        <v>-727793.8</v>
      </c>
      <c r="F20" s="25" t="n">
        <v>-780988.0600000001</v>
      </c>
      <c r="G20" s="25" t="n">
        <v>-1095349.58</v>
      </c>
      <c r="H20" s="25" t="n">
        <v>-659583.59</v>
      </c>
      <c r="I20" s="25" t="n">
        <v>-797601.22</v>
      </c>
      <c r="J20" s="25" t="n">
        <v>-1185447.01</v>
      </c>
      <c r="K20" s="25" t="n">
        <v>-1471299.14</v>
      </c>
      <c r="L20" s="25" t="n">
        <v>-362483.68</v>
      </c>
      <c r="M20" s="25" t="n">
        <v>-382285.53</v>
      </c>
      <c r="N20" s="8" t="n">
        <v>-8819417.449999999</v>
      </c>
      <c r="O20" s="7" t="inlineStr">
        <is>
          <t>23.24%</t>
        </is>
      </c>
    </row>
    <row r="22">
      <c r="A22" s="14" t="inlineStr">
        <is>
          <t>CM2</t>
        </is>
      </c>
      <c r="B22" s="15" t="n">
        <v>74355.09</v>
      </c>
      <c r="C22" s="15" t="n">
        <v>328050.12</v>
      </c>
      <c r="D22" s="15" t="n">
        <v>587736.34</v>
      </c>
      <c r="E22" s="15" t="n">
        <v>587294.21</v>
      </c>
      <c r="F22" s="15" t="n">
        <v>960529.63</v>
      </c>
      <c r="G22" s="15" t="n">
        <v>1404438.94</v>
      </c>
      <c r="H22" s="15" t="n">
        <v>1231467.94</v>
      </c>
      <c r="I22" s="15" t="n">
        <v>1524981.53</v>
      </c>
      <c r="J22" s="15" t="n">
        <v>2268527.18</v>
      </c>
      <c r="K22" s="15" t="n">
        <v>895671.26</v>
      </c>
      <c r="L22" s="15" t="n">
        <v>665164.05</v>
      </c>
      <c r="M22" s="15" t="n">
        <v>794065.54</v>
      </c>
      <c r="N22" s="15" t="n">
        <v>11322281.82</v>
      </c>
      <c r="O22" s="15" t="inlineStr">
        <is>
          <t>29.83%</t>
        </is>
      </c>
    </row>
    <row r="24">
      <c r="A24" s="24" t="inlineStr">
        <is>
          <t>H. PLATFORM COSTS</t>
        </is>
      </c>
      <c r="B24" s="24" t="str"/>
      <c r="C24" s="24" t="str"/>
      <c r="D24" s="24" t="str"/>
      <c r="E24" s="24" t="str"/>
      <c r="F24" s="24" t="str"/>
      <c r="G24" s="24" t="str"/>
      <c r="H24" s="24" t="str"/>
      <c r="I24" s="24" t="str"/>
      <c r="J24" s="24" t="str"/>
      <c r="K24" s="24" t="str"/>
      <c r="L24" s="24" t="str"/>
      <c r="M24" s="24" t="str"/>
      <c r="N24" s="24" t="str"/>
      <c r="O24" s="24" t="str"/>
    </row>
    <row r="25">
      <c r="A25" s="6" t="inlineStr">
        <is>
          <t xml:space="preserve">    Platform Total</t>
        </is>
      </c>
      <c r="B25" s="7" t="inlineStr">
        <is>
          <t>-</t>
        </is>
      </c>
      <c r="C25" s="7" t="inlineStr">
        <is>
          <t>-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25" t="n">
        <v>-70.69</v>
      </c>
      <c r="J25" s="25" t="n">
        <v>-6073.1</v>
      </c>
      <c r="K25" s="25" t="n">
        <v>-1342.01</v>
      </c>
      <c r="L25" s="25" t="n">
        <v>-2278.28</v>
      </c>
      <c r="M25" s="25" t="n">
        <v>-1791.18</v>
      </c>
      <c r="N25" s="8" t="n">
        <v>-11555.26</v>
      </c>
      <c r="O25" s="7" t="inlineStr">
        <is>
          <t>0.03%</t>
        </is>
      </c>
    </row>
    <row r="27">
      <c r="A27" s="26" t="inlineStr">
        <is>
          <t>CM3</t>
        </is>
      </c>
      <c r="B27" s="27" t="n">
        <v>74355.09</v>
      </c>
      <c r="C27" s="27" t="n">
        <v>328050.12</v>
      </c>
      <c r="D27" s="27" t="n">
        <v>587736.34</v>
      </c>
      <c r="E27" s="27" t="n">
        <v>587294.21</v>
      </c>
      <c r="F27" s="27" t="n">
        <v>960529.63</v>
      </c>
      <c r="G27" s="27" t="n">
        <v>1404438.94</v>
      </c>
      <c r="H27" s="27" t="n">
        <v>1231467.94</v>
      </c>
      <c r="I27" s="27" t="n">
        <v>1524910.84</v>
      </c>
      <c r="J27" s="27" t="n">
        <v>2262454.08</v>
      </c>
      <c r="K27" s="27" t="n">
        <v>894329.25</v>
      </c>
      <c r="L27" s="27" t="n">
        <v>662885.77</v>
      </c>
      <c r="M27" s="27" t="n">
        <v>792274.36</v>
      </c>
      <c r="N27" s="27" t="n">
        <v>11310726.56</v>
      </c>
      <c r="O27" s="27" t="inlineStr">
        <is>
          <t>29.80%</t>
        </is>
      </c>
    </row>
    <row r="29">
      <c r="A29" s="24" t="inlineStr">
        <is>
          <t>I. OPERATING EXPENSES</t>
        </is>
      </c>
      <c r="B29" s="24" t="str"/>
      <c r="C29" s="24" t="str"/>
      <c r="D29" s="24" t="str"/>
      <c r="E29" s="24" t="str"/>
      <c r="F29" s="24" t="str"/>
      <c r="G29" s="24" t="str"/>
      <c r="H29" s="24" t="str"/>
      <c r="I29" s="24" t="str"/>
      <c r="J29" s="24" t="str"/>
      <c r="K29" s="24" t="str"/>
      <c r="L29" s="24" t="str"/>
      <c r="M29" s="24" t="str"/>
      <c r="N29" s="24" t="str"/>
      <c r="O29" s="24" t="str"/>
    </row>
    <row r="30">
      <c r="A30" s="6" t="inlineStr">
        <is>
          <t xml:space="preserve">    OpEx Total</t>
        </is>
      </c>
      <c r="B30" s="25" t="n">
        <v>-667754.99</v>
      </c>
      <c r="C30" s="25" t="n">
        <v>-685339.49</v>
      </c>
      <c r="D30" s="25" t="n">
        <v>-601194.5600000001</v>
      </c>
      <c r="E30" s="25" t="n">
        <v>-521086.58</v>
      </c>
      <c r="F30" s="25" t="n">
        <v>-564941.3</v>
      </c>
      <c r="G30" s="25" t="n">
        <v>-856986.22</v>
      </c>
      <c r="H30" s="25" t="n">
        <v>-825608.92</v>
      </c>
      <c r="I30" s="25" t="n">
        <v>-884913.51</v>
      </c>
      <c r="J30" s="25" t="n">
        <v>-1030173.25</v>
      </c>
      <c r="K30" s="25" t="n">
        <v>-626700.09</v>
      </c>
      <c r="L30" s="25" t="n">
        <v>-651531.12</v>
      </c>
      <c r="M30" s="25" t="n">
        <v>-674097.48</v>
      </c>
      <c r="N30" s="8" t="n">
        <v>-8590327.51</v>
      </c>
      <c r="O30" s="7" t="inlineStr">
        <is>
          <t>22.64%</t>
        </is>
      </c>
    </row>
    <row r="32">
      <c r="A32" s="16" t="inlineStr">
        <is>
          <t>EBITDA</t>
        </is>
      </c>
      <c r="B32" s="18" t="n">
        <v>-593399.9</v>
      </c>
      <c r="C32" s="18" t="n">
        <v>-357289.37</v>
      </c>
      <c r="D32" s="18" t="n">
        <v>-13458.22</v>
      </c>
      <c r="E32" s="17" t="n">
        <v>66207.63</v>
      </c>
      <c r="F32" s="17" t="n">
        <v>395588.33</v>
      </c>
      <c r="G32" s="17" t="n">
        <v>547452.72</v>
      </c>
      <c r="H32" s="17" t="n">
        <v>405859.02</v>
      </c>
      <c r="I32" s="17" t="n">
        <v>639997.33</v>
      </c>
      <c r="J32" s="17" t="n">
        <v>1232280.83</v>
      </c>
      <c r="K32" s="17" t="n">
        <v>267629.16</v>
      </c>
      <c r="L32" s="17" t="n">
        <v>11354.65</v>
      </c>
      <c r="M32" s="17" t="n">
        <v>118176.88</v>
      </c>
      <c r="N32" s="17" t="n">
        <v>2720399.05</v>
      </c>
      <c r="O32" s="17" t="inlineStr">
        <is>
          <t>7.17%</t>
        </is>
      </c>
    </row>
    <row r="34">
      <c r="A34" s="24" t="inlineStr">
        <is>
          <t>J. NON-OPERATING</t>
        </is>
      </c>
      <c r="B34" s="24" t="str"/>
      <c r="C34" s="24" t="str"/>
      <c r="D34" s="24" t="str"/>
      <c r="E34" s="24" t="str"/>
      <c r="F34" s="24" t="str"/>
      <c r="G34" s="24" t="str"/>
      <c r="H34" s="24" t="str"/>
      <c r="I34" s="24" t="str"/>
      <c r="J34" s="24" t="str"/>
      <c r="K34" s="24" t="str"/>
      <c r="L34" s="24" t="str"/>
      <c r="M34" s="24" t="str"/>
      <c r="N34" s="24" t="str"/>
      <c r="O34" s="24" t="str"/>
    </row>
    <row r="35">
      <c r="A35" s="6" t="inlineStr">
        <is>
          <t xml:space="preserve">    Non-Op Total</t>
        </is>
      </c>
      <c r="B35" s="25" t="n">
        <v>-22835</v>
      </c>
      <c r="C35" s="25" t="n">
        <v>-26474</v>
      </c>
      <c r="D35" s="25" t="n">
        <v>-34664</v>
      </c>
      <c r="E35" s="25" t="n">
        <v>-41002</v>
      </c>
      <c r="F35" s="25" t="n">
        <v>-46878</v>
      </c>
      <c r="G35" s="25" t="n">
        <v>-50173</v>
      </c>
      <c r="H35" s="25" t="n">
        <v>-52408</v>
      </c>
      <c r="I35" s="25" t="n">
        <v>-53588</v>
      </c>
      <c r="J35" s="25" t="n">
        <v>-55367</v>
      </c>
      <c r="K35" s="25" t="n">
        <v>-58987</v>
      </c>
      <c r="L35" s="25" t="n">
        <v>-55393</v>
      </c>
      <c r="M35" s="25" t="n">
        <v>-1669687</v>
      </c>
      <c r="N35" s="8" t="n">
        <v>-2167456</v>
      </c>
      <c r="O35" s="7" t="inlineStr">
        <is>
          <t>5.71%</t>
        </is>
      </c>
    </row>
    <row r="38">
      <c r="A38" s="19" t="inlineStr">
        <is>
          <t>NET INCOME</t>
        </is>
      </c>
      <c r="B38" s="21" t="n">
        <v>-616234.9</v>
      </c>
      <c r="C38" s="21" t="n">
        <v>-383763.37</v>
      </c>
      <c r="D38" s="21" t="n">
        <v>-48122.22</v>
      </c>
      <c r="E38" s="20" t="n">
        <v>25205.63</v>
      </c>
      <c r="F38" s="20" t="n">
        <v>348710.33</v>
      </c>
      <c r="G38" s="20" t="n">
        <v>497279.72</v>
      </c>
      <c r="H38" s="20" t="n">
        <v>353451.02</v>
      </c>
      <c r="I38" s="20" t="n">
        <v>586409.33</v>
      </c>
      <c r="J38" s="20" t="n">
        <v>1176913.83</v>
      </c>
      <c r="K38" s="20" t="n">
        <v>208642.16</v>
      </c>
      <c r="L38" s="21" t="n">
        <v>-44038.35</v>
      </c>
      <c r="M38" s="21" t="n">
        <v>-1551510.12</v>
      </c>
      <c r="N38" s="20" t="n">
        <v>552943.05</v>
      </c>
      <c r="O38" s="20" t="inlineStr">
        <is>
          <t>1.46%</t>
        </is>
      </c>
    </row>
  </sheetData>
  <mergeCells count="3">
    <mergeCell ref="A1:O1"/>
    <mergeCell ref="A4:O4"/>
    <mergeCell ref="A2:O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cols>
    <col width="35.83203125" customWidth="1" style="2" min="1" max="1"/>
    <col width="10.83203125" customWidth="1" style="2" min="2" max="2"/>
    <col width="10.83203125" customWidth="1" style="2" min="3" max="3"/>
    <col width="10.83203125" customWidth="1" style="2" min="4" max="4"/>
    <col width="10.83203125" customWidth="1" style="2" min="5" max="5"/>
    <col width="10.83203125" customWidth="1" style="2" min="6" max="6"/>
    <col width="10.83203125" customWidth="1" style="2" min="7" max="7"/>
    <col width="10.83203125" customWidth="1" style="2" min="8" max="8"/>
    <col width="10.83203125" customWidth="1" style="2" min="9" max="9"/>
    <col width="10.83203125" customWidth="1" style="2" min="10" max="10"/>
    <col width="10.83203125" customWidth="1" style="2" min="11" max="11"/>
    <col width="10.83203125" customWidth="1" style="2" min="12" max="12"/>
    <col width="10.83203125" customWidth="1" style="2" min="13" max="13"/>
    <col width="12.83203125" customWidth="1" style="2" min="14" max="14"/>
    <col width="8.83203125" customWidth="1" style="2" min="15" max="15"/>
  </cols>
  <sheetData>
    <row r="1">
      <c r="A1" s="40" t="inlineStr">
        <is>
          <t>FY 2023-24 - PROFIT &amp; LOSS STATEMENT</t>
        </is>
      </c>
    </row>
    <row r="2">
      <c r="A2" s="41" t="inlineStr">
        <is>
          <t>Heatronics Pvt Ltd | April 2023 to March 2024</t>
        </is>
      </c>
    </row>
    <row r="4">
      <c r="A4" s="42" t="inlineStr">
        <is>
          <t>Net Revenue = Gross Revenue - Returns - Taxes (GST) | All values in INR</t>
        </is>
      </c>
    </row>
    <row r="6">
      <c r="A6" s="5" t="inlineStr">
        <is>
          <t>Particulars</t>
        </is>
      </c>
      <c r="B6" s="5" t="inlineStr">
        <is>
          <t>Apr'23</t>
        </is>
      </c>
      <c r="C6" s="5" t="inlineStr">
        <is>
          <t>May'23</t>
        </is>
      </c>
      <c r="D6" s="5" t="inlineStr">
        <is>
          <t>Jun'23</t>
        </is>
      </c>
      <c r="E6" s="5" t="inlineStr">
        <is>
          <t>Jul'23</t>
        </is>
      </c>
      <c r="F6" s="5" t="inlineStr">
        <is>
          <t>Aug'23</t>
        </is>
      </c>
      <c r="G6" s="5" t="inlineStr">
        <is>
          <t>Sep'23</t>
        </is>
      </c>
      <c r="H6" s="5" t="inlineStr">
        <is>
          <t>Oct'23</t>
        </is>
      </c>
      <c r="I6" s="5" t="inlineStr">
        <is>
          <t>Nov'23</t>
        </is>
      </c>
      <c r="J6" s="5" t="inlineStr">
        <is>
          <t>Dec'23</t>
        </is>
      </c>
      <c r="K6" s="5" t="inlineStr">
        <is>
          <t>Jan'24</t>
        </is>
      </c>
      <c r="L6" s="5" t="inlineStr">
        <is>
          <t>Feb'24</t>
        </is>
      </c>
      <c r="M6" s="5" t="inlineStr">
        <is>
          <t>Mar'24</t>
        </is>
      </c>
      <c r="N6" s="5" t="inlineStr">
        <is>
          <t>FY Total</t>
        </is>
      </c>
      <c r="O6" s="5" t="inlineStr">
        <is>
          <t>% Rev</t>
        </is>
      </c>
    </row>
    <row r="7">
      <c r="A7" s="9" t="inlineStr">
        <is>
          <t>NET REVENUE</t>
        </is>
      </c>
      <c r="B7" s="10" t="inlineStr">
        <is>
          <t>-</t>
        </is>
      </c>
      <c r="C7" s="10" t="inlineStr">
        <is>
          <t>-</t>
        </is>
      </c>
      <c r="D7" s="10" t="inlineStr">
        <is>
          <t>-</t>
        </is>
      </c>
      <c r="E7" s="10" t="inlineStr">
        <is>
          <t>-</t>
        </is>
      </c>
      <c r="F7" s="10" t="inlineStr">
        <is>
          <t>-</t>
        </is>
      </c>
      <c r="G7" s="10" t="inlineStr">
        <is>
          <t>-</t>
        </is>
      </c>
      <c r="H7" s="10" t="inlineStr">
        <is>
          <t>-</t>
        </is>
      </c>
      <c r="I7" s="10" t="inlineStr">
        <is>
          <t>-</t>
        </is>
      </c>
      <c r="J7" s="10" t="n">
        <v>4705392.63</v>
      </c>
      <c r="K7" s="10" t="n">
        <v>4043903.46</v>
      </c>
      <c r="L7" s="10" t="n">
        <v>3086301.89</v>
      </c>
      <c r="M7" s="10" t="n">
        <v>1575743.32</v>
      </c>
      <c r="N7" s="10" t="n">
        <v>13411341.3</v>
      </c>
      <c r="O7" s="10" t="inlineStr">
        <is>
          <t>100.00%</t>
        </is>
      </c>
    </row>
    <row r="9">
      <c r="A9" s="24" t="inlineStr">
        <is>
          <t>E. COST OF GOODS MANUFACTURED</t>
        </is>
      </c>
      <c r="B9" s="24" t="str"/>
      <c r="C9" s="24" t="str"/>
      <c r="D9" s="24" t="str"/>
      <c r="E9" s="24" t="str"/>
      <c r="F9" s="24" t="str"/>
      <c r="G9" s="24" t="str"/>
      <c r="H9" s="24" t="str"/>
      <c r="I9" s="24" t="str"/>
      <c r="J9" s="24" t="str"/>
      <c r="K9" s="24" t="str"/>
      <c r="L9" s="24" t="str"/>
      <c r="M9" s="24" t="str"/>
      <c r="N9" s="24" t="str"/>
      <c r="O9" s="24" t="str"/>
    </row>
    <row r="10">
      <c r="A10" s="6" t="inlineStr">
        <is>
          <t xml:space="preserve">    COGM Total</t>
        </is>
      </c>
      <c r="B10" s="7" t="inlineStr">
        <is>
          <t>-</t>
        </is>
      </c>
      <c r="C10" s="7" t="inlineStr">
        <is>
          <t>-</t>
        </is>
      </c>
      <c r="D10" s="7" t="inlineStr">
        <is>
          <t>-</t>
        </is>
      </c>
      <c r="E10" s="7" t="inlineStr">
        <is>
          <t>-</t>
        </is>
      </c>
      <c r="F10" s="7" t="inlineStr">
        <is>
          <t>-</t>
        </is>
      </c>
      <c r="G10" s="7" t="inlineStr">
        <is>
          <t>-</t>
        </is>
      </c>
      <c r="H10" s="7" t="inlineStr">
        <is>
          <t>-</t>
        </is>
      </c>
      <c r="I10" s="7" t="inlineStr">
        <is>
          <t>-</t>
        </is>
      </c>
      <c r="J10" s="25" t="n">
        <v>-3184747.56</v>
      </c>
      <c r="K10" s="25" t="n">
        <v>-2693172.38</v>
      </c>
      <c r="L10" s="25" t="n">
        <v>-2081397.15</v>
      </c>
      <c r="M10" s="25" t="n">
        <v>-1355158.85</v>
      </c>
      <c r="N10" s="8" t="n">
        <v>-9314475.939999999</v>
      </c>
      <c r="O10" s="7" t="inlineStr">
        <is>
          <t>69.45%</t>
        </is>
      </c>
    </row>
    <row r="12">
      <c r="A12" s="9" t="inlineStr">
        <is>
          <t>GROSS MARGIN</t>
        </is>
      </c>
      <c r="B12" s="10" t="inlineStr">
        <is>
          <t>-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n">
        <v>1520645.07</v>
      </c>
      <c r="K12" s="10" t="n">
        <v>1350731.08</v>
      </c>
      <c r="L12" s="10" t="n">
        <v>1004904.74</v>
      </c>
      <c r="M12" s="10" t="n">
        <v>220584.47</v>
      </c>
      <c r="N12" s="10" t="n">
        <v>4096865.36</v>
      </c>
      <c r="O12" s="10" t="inlineStr">
        <is>
          <t>30.55%</t>
        </is>
      </c>
    </row>
    <row r="14">
      <c r="A14" s="24" t="inlineStr">
        <is>
          <t>F. CHANNEL &amp; FULFILLMENT</t>
        </is>
      </c>
      <c r="B14" s="24" t="str"/>
      <c r="C14" s="24" t="str"/>
      <c r="D14" s="24" t="str"/>
      <c r="E14" s="24" t="str"/>
      <c r="F14" s="24" t="str"/>
      <c r="G14" s="24" t="str"/>
      <c r="H14" s="24" t="str"/>
      <c r="I14" s="24" t="str"/>
      <c r="J14" s="24" t="str"/>
      <c r="K14" s="24" t="str"/>
      <c r="L14" s="24" t="str"/>
      <c r="M14" s="24" t="str"/>
      <c r="N14" s="24" t="str"/>
      <c r="O14" s="24" t="str"/>
    </row>
    <row r="15">
      <c r="A15" s="6" t="inlineStr">
        <is>
          <t xml:space="preserve">    Channel Total</t>
        </is>
      </c>
      <c r="B15" s="7" t="inlineStr">
        <is>
          <t>-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25" t="n">
        <v>-12077</v>
      </c>
      <c r="K15" s="25" t="n">
        <v>-1320</v>
      </c>
      <c r="L15" s="25" t="n">
        <v>-19954</v>
      </c>
      <c r="M15" s="25" t="n">
        <v>-865</v>
      </c>
      <c r="N15" s="8" t="n">
        <v>-34216</v>
      </c>
      <c r="O15" s="7" t="inlineStr">
        <is>
          <t>0.26%</t>
        </is>
      </c>
    </row>
    <row r="17">
      <c r="A17" s="12" t="inlineStr">
        <is>
          <t>CM1</t>
        </is>
      </c>
      <c r="B17" s="13" t="inlineStr">
        <is>
          <t>-</t>
        </is>
      </c>
      <c r="C17" s="13" t="inlineStr">
        <is>
          <t>-</t>
        </is>
      </c>
      <c r="D17" s="13" t="inlineStr">
        <is>
          <t>-</t>
        </is>
      </c>
      <c r="E17" s="13" t="inlineStr">
        <is>
          <t>-</t>
        </is>
      </c>
      <c r="F17" s="13" t="inlineStr">
        <is>
          <t>-</t>
        </is>
      </c>
      <c r="G17" s="13" t="inlineStr">
        <is>
          <t>-</t>
        </is>
      </c>
      <c r="H17" s="13" t="inlineStr">
        <is>
          <t>-</t>
        </is>
      </c>
      <c r="I17" s="13" t="inlineStr">
        <is>
          <t>-</t>
        </is>
      </c>
      <c r="J17" s="13" t="n">
        <v>1508568.07</v>
      </c>
      <c r="K17" s="13" t="n">
        <v>1349411.08</v>
      </c>
      <c r="L17" s="13" t="n">
        <v>984950.74</v>
      </c>
      <c r="M17" s="13" t="n">
        <v>219719.47</v>
      </c>
      <c r="N17" s="13" t="n">
        <v>4062649.36</v>
      </c>
      <c r="O17" s="13" t="inlineStr">
        <is>
          <t>30.29%</t>
        </is>
      </c>
    </row>
    <row r="19">
      <c r="A19" s="24" t="inlineStr">
        <is>
          <t>G. SALES &amp; MARKETING</t>
        </is>
      </c>
      <c r="B19" s="24" t="str"/>
      <c r="C19" s="24" t="str"/>
      <c r="D19" s="24" t="str"/>
      <c r="E19" s="24" t="str"/>
      <c r="F19" s="24" t="str"/>
      <c r="G19" s="24" t="str"/>
      <c r="H19" s="24" t="str"/>
      <c r="I19" s="24" t="str"/>
      <c r="J19" s="24" t="str"/>
      <c r="K19" s="24" t="str"/>
      <c r="L19" s="24" t="str"/>
      <c r="M19" s="24" t="str"/>
      <c r="N19" s="24" t="str"/>
      <c r="O19" s="24" t="str"/>
    </row>
    <row r="20">
      <c r="A20" s="6" t="inlineStr">
        <is>
          <t xml:space="preserve">    Marketing Total</t>
        </is>
      </c>
      <c r="B20" s="7" t="inlineStr">
        <is>
          <t>-</t>
        </is>
      </c>
      <c r="C20" s="7" t="inlineStr">
        <is>
          <t>-</t>
        </is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inlineStr">
        <is>
          <t>-</t>
        </is>
      </c>
      <c r="J20" s="25" t="n">
        <v>-93219.44</v>
      </c>
      <c r="K20" s="25" t="n">
        <v>-112723.81</v>
      </c>
      <c r="L20" s="25" t="n">
        <v>-184630.58</v>
      </c>
      <c r="M20" s="25" t="n">
        <v>-283513.35</v>
      </c>
      <c r="N20" s="8" t="n">
        <v>-674087.1800000001</v>
      </c>
      <c r="O20" s="7" t="inlineStr">
        <is>
          <t>5.03%</t>
        </is>
      </c>
    </row>
    <row r="22">
      <c r="A22" s="14" t="inlineStr">
        <is>
          <t>CM2</t>
        </is>
      </c>
      <c r="B22" s="15" t="inlineStr">
        <is>
          <t>-</t>
        </is>
      </c>
      <c r="C22" s="15" t="inlineStr">
        <is>
          <t>-</t>
        </is>
      </c>
      <c r="D22" s="15" t="inlineStr">
        <is>
          <t>-</t>
        </is>
      </c>
      <c r="E22" s="15" t="inlineStr">
        <is>
          <t>-</t>
        </is>
      </c>
      <c r="F22" s="15" t="inlineStr">
        <is>
          <t>-</t>
        </is>
      </c>
      <c r="G22" s="15" t="inlineStr">
        <is>
          <t>-</t>
        </is>
      </c>
      <c r="H22" s="15" t="inlineStr">
        <is>
          <t>-</t>
        </is>
      </c>
      <c r="I22" s="15" t="inlineStr">
        <is>
          <t>-</t>
        </is>
      </c>
      <c r="J22" s="15" t="n">
        <v>1415348.63</v>
      </c>
      <c r="K22" s="15" t="n">
        <v>1236687.27</v>
      </c>
      <c r="L22" s="15" t="n">
        <v>800320.16</v>
      </c>
      <c r="M22" s="23" t="n">
        <v>-63793.88</v>
      </c>
      <c r="N22" s="15" t="n">
        <v>3388562.18</v>
      </c>
      <c r="O22" s="15" t="inlineStr">
        <is>
          <t>25.27%</t>
        </is>
      </c>
    </row>
    <row r="24">
      <c r="A24" s="24" t="inlineStr">
        <is>
          <t>H. PLATFORM COSTS</t>
        </is>
      </c>
      <c r="B24" s="24" t="str"/>
      <c r="C24" s="24" t="str"/>
      <c r="D24" s="24" t="str"/>
      <c r="E24" s="24" t="str"/>
      <c r="F24" s="24" t="str"/>
      <c r="G24" s="24" t="str"/>
      <c r="H24" s="24" t="str"/>
      <c r="I24" s="24" t="str"/>
      <c r="J24" s="24" t="str"/>
      <c r="K24" s="24" t="str"/>
      <c r="L24" s="24" t="str"/>
      <c r="M24" s="24" t="str"/>
      <c r="N24" s="24" t="str"/>
      <c r="O24" s="24" t="str"/>
    </row>
    <row r="25">
      <c r="A25" s="6" t="inlineStr">
        <is>
          <t xml:space="preserve">    Platform Total</t>
        </is>
      </c>
      <c r="B25" s="7" t="inlineStr">
        <is>
          <t>-</t>
        </is>
      </c>
      <c r="C25" s="7" t="inlineStr">
        <is>
          <t>-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8" t="n">
        <v>0</v>
      </c>
      <c r="O25" s="7" t="inlineStr">
        <is>
          <t>0.00%</t>
        </is>
      </c>
    </row>
    <row r="27">
      <c r="A27" s="26" t="inlineStr">
        <is>
          <t>CM3</t>
        </is>
      </c>
      <c r="B27" s="27" t="inlineStr">
        <is>
          <t>-</t>
        </is>
      </c>
      <c r="C27" s="27" t="inlineStr">
        <is>
          <t>-</t>
        </is>
      </c>
      <c r="D27" s="27" t="inlineStr">
        <is>
          <t>-</t>
        </is>
      </c>
      <c r="E27" s="27" t="inlineStr">
        <is>
          <t>-</t>
        </is>
      </c>
      <c r="F27" s="27" t="inlineStr">
        <is>
          <t>-</t>
        </is>
      </c>
      <c r="G27" s="27" t="inlineStr">
        <is>
          <t>-</t>
        </is>
      </c>
      <c r="H27" s="27" t="inlineStr">
        <is>
          <t>-</t>
        </is>
      </c>
      <c r="I27" s="27" t="inlineStr">
        <is>
          <t>-</t>
        </is>
      </c>
      <c r="J27" s="27" t="n">
        <v>1415348.63</v>
      </c>
      <c r="K27" s="27" t="n">
        <v>1236687.27</v>
      </c>
      <c r="L27" s="27" t="n">
        <v>800320.16</v>
      </c>
      <c r="M27" s="28" t="n">
        <v>-63793.88</v>
      </c>
      <c r="N27" s="27" t="n">
        <v>3388562.18</v>
      </c>
      <c r="O27" s="27" t="inlineStr">
        <is>
          <t>25.27%</t>
        </is>
      </c>
    </row>
    <row r="29">
      <c r="A29" s="24" t="inlineStr">
        <is>
          <t>I. OPERATING EXPENSES</t>
        </is>
      </c>
      <c r="B29" s="24" t="str"/>
      <c r="C29" s="24" t="str"/>
      <c r="D29" s="24" t="str"/>
      <c r="E29" s="24" t="str"/>
      <c r="F29" s="24" t="str"/>
      <c r="G29" s="24" t="str"/>
      <c r="H29" s="24" t="str"/>
      <c r="I29" s="24" t="str"/>
      <c r="J29" s="24" t="str"/>
      <c r="K29" s="24" t="str"/>
      <c r="L29" s="24" t="str"/>
      <c r="M29" s="24" t="str"/>
      <c r="N29" s="24" t="str"/>
      <c r="O29" s="24" t="str"/>
    </row>
    <row r="30">
      <c r="A30" s="6" t="inlineStr">
        <is>
          <t xml:space="preserve">    OpEx Total</t>
        </is>
      </c>
      <c r="B30" s="7" t="inlineStr">
        <is>
          <t>-</t>
        </is>
      </c>
      <c r="C30" s="7" t="inlineStr">
        <is>
          <t>-</t>
        </is>
      </c>
      <c r="D30" s="7" t="inlineStr">
        <is>
          <t>-</t>
        </is>
      </c>
      <c r="E30" s="7" t="inlineStr">
        <is>
          <t>-</t>
        </is>
      </c>
      <c r="F30" s="7" t="inlineStr">
        <is>
          <t>-</t>
        </is>
      </c>
      <c r="G30" s="7" t="inlineStr">
        <is>
          <t>-</t>
        </is>
      </c>
      <c r="H30" s="7" t="inlineStr">
        <is>
          <t>-</t>
        </is>
      </c>
      <c r="I30" s="7" t="inlineStr">
        <is>
          <t>-</t>
        </is>
      </c>
      <c r="J30" s="25" t="n">
        <v>-714179.71</v>
      </c>
      <c r="K30" s="25" t="n">
        <v>-807183.7</v>
      </c>
      <c r="L30" s="25" t="n">
        <v>-664441.33</v>
      </c>
      <c r="M30" s="25" t="n">
        <v>-489798.61</v>
      </c>
      <c r="N30" s="8" t="n">
        <v>-2675603.35</v>
      </c>
      <c r="O30" s="7" t="inlineStr">
        <is>
          <t>19.95%</t>
        </is>
      </c>
    </row>
    <row r="32">
      <c r="A32" s="16" t="inlineStr">
        <is>
          <t>EBITDA</t>
        </is>
      </c>
      <c r="B32" s="17" t="inlineStr">
        <is>
          <t>-</t>
        </is>
      </c>
      <c r="C32" s="17" t="inlineStr">
        <is>
          <t>-</t>
        </is>
      </c>
      <c r="D32" s="17" t="inlineStr">
        <is>
          <t>-</t>
        </is>
      </c>
      <c r="E32" s="17" t="inlineStr">
        <is>
          <t>-</t>
        </is>
      </c>
      <c r="F32" s="17" t="inlineStr">
        <is>
          <t>-</t>
        </is>
      </c>
      <c r="G32" s="17" t="inlineStr">
        <is>
          <t>-</t>
        </is>
      </c>
      <c r="H32" s="17" t="inlineStr">
        <is>
          <t>-</t>
        </is>
      </c>
      <c r="I32" s="17" t="inlineStr">
        <is>
          <t>-</t>
        </is>
      </c>
      <c r="J32" s="17" t="n">
        <v>701168.92</v>
      </c>
      <c r="K32" s="17" t="n">
        <v>429503.57</v>
      </c>
      <c r="L32" s="17" t="n">
        <v>135878.83</v>
      </c>
      <c r="M32" s="18" t="n">
        <v>-553592.49</v>
      </c>
      <c r="N32" s="17" t="n">
        <v>712958.83</v>
      </c>
      <c r="O32" s="17" t="inlineStr">
        <is>
          <t>5.32%</t>
        </is>
      </c>
    </row>
    <row r="34">
      <c r="A34" s="24" t="inlineStr">
        <is>
          <t>J. NON-OPERATING</t>
        </is>
      </c>
      <c r="B34" s="24" t="str"/>
      <c r="C34" s="24" t="str"/>
      <c r="D34" s="24" t="str"/>
      <c r="E34" s="24" t="str"/>
      <c r="F34" s="24" t="str"/>
      <c r="G34" s="24" t="str"/>
      <c r="H34" s="24" t="str"/>
      <c r="I34" s="24" t="str"/>
      <c r="J34" s="24" t="str"/>
      <c r="K34" s="24" t="str"/>
      <c r="L34" s="24" t="str"/>
      <c r="M34" s="24" t="str"/>
      <c r="N34" s="24" t="str"/>
      <c r="O34" s="24" t="str"/>
    </row>
    <row r="35">
      <c r="A35" s="6" t="inlineStr">
        <is>
          <t xml:space="preserve">    Non-Op Total</t>
        </is>
      </c>
      <c r="B35" s="7" t="inlineStr">
        <is>
          <t>-</t>
        </is>
      </c>
      <c r="C35" s="7" t="inlineStr">
        <is>
          <t>-</t>
        </is>
      </c>
      <c r="D35" s="7" t="inlineStr">
        <is>
          <t>-</t>
        </is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25" t="n">
        <v>-23944</v>
      </c>
      <c r="K35" s="25" t="n">
        <v>-23719</v>
      </c>
      <c r="L35" s="25" t="n">
        <v>-23493</v>
      </c>
      <c r="M35" s="25" t="n">
        <v>-1411266</v>
      </c>
      <c r="N35" s="8" t="n">
        <v>-1482422</v>
      </c>
      <c r="O35" s="7" t="inlineStr">
        <is>
          <t>11.05%</t>
        </is>
      </c>
    </row>
    <row r="38">
      <c r="A38" s="19" t="inlineStr">
        <is>
          <t>NET INCOME</t>
        </is>
      </c>
      <c r="B38" s="20" t="inlineStr">
        <is>
          <t>-</t>
        </is>
      </c>
      <c r="C38" s="20" t="inlineStr">
        <is>
          <t>-</t>
        </is>
      </c>
      <c r="D38" s="20" t="inlineStr">
        <is>
          <t>-</t>
        </is>
      </c>
      <c r="E38" s="20" t="inlineStr">
        <is>
          <t>-</t>
        </is>
      </c>
      <c r="F38" s="20" t="inlineStr">
        <is>
          <t>-</t>
        </is>
      </c>
      <c r="G38" s="20" t="inlineStr">
        <is>
          <t>-</t>
        </is>
      </c>
      <c r="H38" s="20" t="inlineStr">
        <is>
          <t>-</t>
        </is>
      </c>
      <c r="I38" s="20" t="inlineStr">
        <is>
          <t>-</t>
        </is>
      </c>
      <c r="J38" s="20" t="n">
        <v>677224.92</v>
      </c>
      <c r="K38" s="20" t="n">
        <v>405784.57</v>
      </c>
      <c r="L38" s="20" t="n">
        <v>112385.83</v>
      </c>
      <c r="M38" s="21" t="n">
        <v>-1964858.49</v>
      </c>
      <c r="N38" s="20" t="n">
        <v>-769463.17</v>
      </c>
      <c r="O38" s="20" t="inlineStr">
        <is>
          <t>-5.74%</t>
        </is>
      </c>
    </row>
  </sheetData>
  <mergeCells count="3">
    <mergeCell ref="A1:O1"/>
    <mergeCell ref="A4:O4"/>
    <mergeCell ref="A2:O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6" customWidth="1" style="2" min="1" max="1"/>
    <col width="16" customWidth="1" style="2" min="2" max="2"/>
    <col width="12" customWidth="1" style="2" min="3" max="3"/>
  </cols>
  <sheetData>
    <row r="1">
      <c r="A1" s="181" t="inlineStr">
        <is>
          <t>May 2026 — PROFIT &amp; LOSS STATEMENT</t>
        </is>
      </c>
    </row>
    <row r="2">
      <c r="A2" s="43" t="inlineStr">
        <is>
          <t>Heatronics Medical Devices Pvt Ltd</t>
        </is>
      </c>
    </row>
    <row r="3">
      <c r="A3" s="45" t="inlineStr">
        <is>
          <t>Source: management P&amp;L (Final-3 model). ₹.  Net Revenue = external net sales.</t>
        </is>
      </c>
    </row>
    <row r="5">
      <c r="A5" s="43" t="inlineStr">
        <is>
          <t>Particulars</t>
        </is>
      </c>
      <c r="B5" s="43" t="inlineStr">
        <is>
          <t>Amount (₹)</t>
        </is>
      </c>
      <c r="C5" s="43" t="inlineStr">
        <is>
          <t>% of Net Revenue</t>
        </is>
      </c>
    </row>
    <row r="6">
      <c r="A6" s="182" t="inlineStr">
        <is>
          <t>A. NET SALES BY CHANNEL</t>
        </is>
      </c>
      <c r="B6" s="183" t="n"/>
      <c r="C6" s="183" t="n"/>
    </row>
    <row r="7">
      <c r="A7" s="184" t="inlineStr">
        <is>
          <t xml:space="preserve">    D2C</t>
        </is>
      </c>
      <c r="B7" s="185" t="n">
        <v>1417000</v>
      </c>
      <c r="C7" s="186" t="n">
        <v>0.2109886837403216</v>
      </c>
    </row>
    <row r="8">
      <c r="A8" s="184" t="inlineStr">
        <is>
          <t xml:space="preserve">    Ecommerce (Amazon+Blinkit)</t>
        </is>
      </c>
      <c r="B8" s="185" t="n">
        <v>2384000</v>
      </c>
      <c r="C8" s="186" t="n">
        <v>0.3549731983323407</v>
      </c>
    </row>
    <row r="9">
      <c r="A9" s="184" t="inlineStr">
        <is>
          <t xml:space="preserve">    OEM</t>
        </is>
      </c>
      <c r="B9" s="185" t="n">
        <v>2634000</v>
      </c>
      <c r="C9" s="186" t="n">
        <v>0.3921977367480644</v>
      </c>
    </row>
    <row r="10">
      <c r="A10" s="184" t="inlineStr">
        <is>
          <t xml:space="preserve">    Offline</t>
        </is>
      </c>
      <c r="B10" s="185" t="n">
        <v>277000</v>
      </c>
      <c r="C10" s="186" t="n">
        <v>0.0412447885646218</v>
      </c>
    </row>
    <row r="11">
      <c r="A11" s="187" t="inlineStr">
        <is>
          <t>NET REVENUE</t>
        </is>
      </c>
      <c r="B11" s="188" t="n">
        <v>6716000</v>
      </c>
      <c r="C11" s="189" t="n">
        <v>1</v>
      </c>
    </row>
    <row r="13">
      <c r="A13" s="182" t="inlineStr">
        <is>
          <t>B. COST OF GOODS SOLD</t>
        </is>
      </c>
      <c r="B13" s="183" t="n"/>
      <c r="C13" s="183" t="n"/>
    </row>
    <row r="14">
      <c r="A14" s="184" t="inlineStr">
        <is>
          <t xml:space="preserve">    Raw Materials &amp; Inventory</t>
        </is>
      </c>
      <c r="B14" s="185" t="n">
        <v>-1057000</v>
      </c>
      <c r="C14" s="186" t="n">
        <v>0.1573853484216796</v>
      </c>
    </row>
    <row r="15">
      <c r="A15" s="190" t="inlineStr">
        <is>
          <t>TOTAL COGS</t>
        </is>
      </c>
      <c r="B15" s="191" t="n">
        <v>-1057000</v>
      </c>
      <c r="C15" s="192" t="n">
        <v>0.1573853484216796</v>
      </c>
    </row>
    <row r="16">
      <c r="A16" s="190" t="inlineStr">
        <is>
          <t>GROSS MARGIN</t>
        </is>
      </c>
      <c r="B16" s="191" t="n">
        <v>5659000</v>
      </c>
      <c r="C16" s="192" t="n">
        <v>0.8426146515783204</v>
      </c>
    </row>
    <row r="18">
      <c r="A18" s="182" t="inlineStr">
        <is>
          <t>C. CHANNEL &amp; FULFILMENT</t>
        </is>
      </c>
      <c r="B18" s="183" t="n"/>
      <c r="C18" s="183" t="n"/>
    </row>
    <row r="19">
      <c r="A19" s="184" t="inlineStr">
        <is>
          <t xml:space="preserve">    Channel Spends</t>
        </is>
      </c>
      <c r="B19" s="185" t="n">
        <v>-377000</v>
      </c>
      <c r="C19" s="186" t="n">
        <v>0.05613460393091126</v>
      </c>
    </row>
    <row r="20">
      <c r="A20" s="190" t="inlineStr">
        <is>
          <t>TOTAL CHANNEL &amp; FULFILMENT</t>
        </is>
      </c>
      <c r="B20" s="191" t="n">
        <v>-377000</v>
      </c>
      <c r="C20" s="192" t="n">
        <v>0.05613460393091126</v>
      </c>
    </row>
    <row r="21">
      <c r="A21" s="190" t="inlineStr">
        <is>
          <t>CM1 (Contribution Margin 1)</t>
        </is>
      </c>
      <c r="B21" s="191" t="n">
        <v>5282000</v>
      </c>
      <c r="C21" s="192" t="n">
        <v>0.7864800476474092</v>
      </c>
    </row>
    <row r="23">
      <c r="A23" s="182" t="inlineStr">
        <is>
          <t>D. SALES &amp; MARKETING</t>
        </is>
      </c>
      <c r="B23" s="183" t="n"/>
      <c r="C23" s="183" t="n"/>
    </row>
    <row r="24">
      <c r="A24" s="184" t="inlineStr">
        <is>
          <t xml:space="preserve">    Performance Marketing (own website)</t>
        </is>
      </c>
      <c r="B24" s="185" t="n">
        <v>-822000</v>
      </c>
      <c r="C24" s="186" t="n">
        <v>0.1223942823108993</v>
      </c>
    </row>
    <row r="25">
      <c r="A25" s="184" t="inlineStr">
        <is>
          <t xml:space="preserve">    Brand Building</t>
        </is>
      </c>
      <c r="B25" s="185" t="n">
        <v>-1104000</v>
      </c>
      <c r="C25" s="186" t="n">
        <v>0.1643835616438356</v>
      </c>
    </row>
    <row r="26">
      <c r="A26" s="190" t="inlineStr">
        <is>
          <t>TOTAL SALES &amp; MARKETING</t>
        </is>
      </c>
      <c r="B26" s="191" t="n">
        <v>-1926000</v>
      </c>
      <c r="C26" s="192" t="n">
        <v>0.2867778439547349</v>
      </c>
    </row>
    <row r="27">
      <c r="A27" s="190" t="inlineStr">
        <is>
          <t>CM2 (Contribution Margin 2)</t>
        </is>
      </c>
      <c r="B27" s="191" t="n">
        <v>3356000</v>
      </c>
      <c r="C27" s="192" t="n">
        <v>0.4997022036926742</v>
      </c>
    </row>
    <row r="29">
      <c r="A29" s="182" t="inlineStr">
        <is>
          <t>E. OTHER DIRECT</t>
        </is>
      </c>
      <c r="B29" s="183" t="n"/>
      <c r="C29" s="183" t="n"/>
    </row>
    <row r="30">
      <c r="A30" s="184" t="inlineStr">
        <is>
          <t xml:space="preserve">    Non-margin expenses</t>
        </is>
      </c>
      <c r="B30" s="185" t="n">
        <v>-2000</v>
      </c>
      <c r="C30" s="186" t="n">
        <v>0.0002977963073257892</v>
      </c>
    </row>
    <row r="31">
      <c r="A31" s="190" t="inlineStr">
        <is>
          <t>CM3 (Contribution Margin 3)</t>
        </is>
      </c>
      <c r="B31" s="191" t="n">
        <v>3354000</v>
      </c>
      <c r="C31" s="192" t="n">
        <v>0.4994044073853484</v>
      </c>
    </row>
    <row r="33">
      <c r="A33" s="182" t="inlineStr">
        <is>
          <t>F. OPERATING EXPENSES</t>
        </is>
      </c>
      <c r="B33" s="183" t="n"/>
      <c r="C33" s="183" t="n"/>
    </row>
    <row r="34">
      <c r="A34" s="184" t="inlineStr">
        <is>
          <t xml:space="preserve">    Salary Cost</t>
        </is>
      </c>
      <c r="B34" s="185" t="n">
        <v>-208000</v>
      </c>
      <c r="C34" s="186" t="n">
        <v>0.03097081596188207</v>
      </c>
    </row>
    <row r="35">
      <c r="A35" s="184" t="inlineStr">
        <is>
          <t xml:space="preserve">    Corporate Overheads</t>
        </is>
      </c>
      <c r="B35" s="185" t="n">
        <v>-77000</v>
      </c>
      <c r="C35" s="186" t="n">
        <v>0.01146515783204288</v>
      </c>
    </row>
    <row r="36">
      <c r="A36" s="190" t="inlineStr">
        <is>
          <t>TOTAL OPERATING EXPENSES</t>
        </is>
      </c>
      <c r="B36" s="191" t="n">
        <v>-285000</v>
      </c>
      <c r="C36" s="192" t="n">
        <v>0.04243597379392496</v>
      </c>
    </row>
    <row r="37">
      <c r="A37" s="187" t="inlineStr">
        <is>
          <t>EBITDA</t>
        </is>
      </c>
      <c r="B37" s="188" t="n">
        <v>3069000</v>
      </c>
      <c r="C37" s="189" t="n">
        <v>0.4569684335914235</v>
      </c>
    </row>
    <row r="39">
      <c r="A39" s="182" t="inlineStr">
        <is>
          <t>G. NON-OPERATING</t>
        </is>
      </c>
      <c r="B39" s="183" t="n"/>
      <c r="C39" s="183" t="n"/>
    </row>
    <row r="40">
      <c r="A40" s="184" t="inlineStr">
        <is>
          <t xml:space="preserve">    One-Time Expenses (Business Development)</t>
        </is>
      </c>
      <c r="B40" s="185" t="n">
        <v>-2830000</v>
      </c>
      <c r="C40" s="186" t="n">
        <v>0.4213817748659917</v>
      </c>
    </row>
    <row r="41">
      <c r="A41" s="190" t="inlineStr">
        <is>
          <t>TOTAL NON-OPERATING</t>
        </is>
      </c>
      <c r="B41" s="191" t="n">
        <v>-2830000</v>
      </c>
      <c r="C41" s="192" t="n">
        <v>0.4213817748659917</v>
      </c>
    </row>
    <row r="42">
      <c r="A42" s="187" t="inlineStr">
        <is>
          <t>NET INCOME (pre-depreciation)</t>
        </is>
      </c>
      <c r="B42" s="188" t="n">
        <v>239000</v>
      </c>
      <c r="C42" s="189" t="n">
        <v>0.03558665872543181</v>
      </c>
    </row>
    <row r="44">
      <c r="A44" s="184" t="inlineStr">
        <is>
          <t>Memo: Depreciation (excl. from MIS basis)</t>
        </is>
      </c>
      <c r="B44" s="185" t="n">
        <v>-0</v>
      </c>
      <c r="C44" s="18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6" customWidth="1" style="2" min="1" max="1"/>
    <col width="16" customWidth="1" style="2" min="2" max="2"/>
    <col width="12" customWidth="1" style="2" min="3" max="3"/>
  </cols>
  <sheetData>
    <row r="1">
      <c r="A1" s="181" t="inlineStr">
        <is>
          <t>Apr 2026 — PROFIT &amp; LOSS STATEMENT</t>
        </is>
      </c>
    </row>
    <row r="2">
      <c r="A2" s="43" t="inlineStr">
        <is>
          <t>Heatronics Medical Devices Pvt Ltd</t>
        </is>
      </c>
    </row>
    <row r="3">
      <c r="A3" s="45" t="inlineStr">
        <is>
          <t>Source: management P&amp;L (Final-3 model). ₹.  Net Revenue = external net sales.</t>
        </is>
      </c>
    </row>
    <row r="5">
      <c r="A5" s="43" t="inlineStr">
        <is>
          <t>Particulars</t>
        </is>
      </c>
      <c r="B5" s="43" t="inlineStr">
        <is>
          <t>Amount (₹)</t>
        </is>
      </c>
      <c r="C5" s="43" t="inlineStr">
        <is>
          <t>% of Net Revenue</t>
        </is>
      </c>
    </row>
    <row r="6">
      <c r="A6" s="182" t="inlineStr">
        <is>
          <t>A. NET SALES BY CHANNEL</t>
        </is>
      </c>
      <c r="B6" s="183" t="n"/>
      <c r="C6" s="183" t="n"/>
    </row>
    <row r="7">
      <c r="A7" s="184" t="inlineStr">
        <is>
          <t xml:space="preserve">    D2C</t>
        </is>
      </c>
      <c r="B7" s="185" t="n">
        <v>1860000</v>
      </c>
      <c r="C7" s="186" t="n">
        <v>0.4442321471220444</v>
      </c>
    </row>
    <row r="8">
      <c r="A8" s="184" t="inlineStr">
        <is>
          <t xml:space="preserve">    Ecommerce (Amazon+Blinkit)</t>
        </is>
      </c>
      <c r="B8" s="185" t="n">
        <v>1800000</v>
      </c>
      <c r="C8" s="186" t="n">
        <v>0.429902077860043</v>
      </c>
    </row>
    <row r="9">
      <c r="A9" s="184" t="inlineStr">
        <is>
          <t xml:space="preserve">    OEM</t>
        </is>
      </c>
      <c r="B9" s="185" t="n">
        <v>316000</v>
      </c>
      <c r="C9" s="186" t="n">
        <v>0.07547169811320754</v>
      </c>
    </row>
    <row r="10">
      <c r="A10" s="184" t="inlineStr">
        <is>
          <t xml:space="preserve">    Offline</t>
        </is>
      </c>
      <c r="B10" s="185" t="n">
        <v>210000</v>
      </c>
      <c r="C10" s="186" t="n">
        <v>0.05015524241700502</v>
      </c>
    </row>
    <row r="11">
      <c r="A11" s="187" t="inlineStr">
        <is>
          <t>NET REVENUE</t>
        </is>
      </c>
      <c r="B11" s="188" t="n">
        <v>4187000</v>
      </c>
      <c r="C11" s="189" t="n">
        <v>1</v>
      </c>
    </row>
    <row r="13">
      <c r="A13" s="182" t="inlineStr">
        <is>
          <t>B. COST OF GOODS SOLD</t>
        </is>
      </c>
      <c r="B13" s="183" t="n"/>
      <c r="C13" s="183" t="n"/>
    </row>
    <row r="14">
      <c r="A14" s="184" t="inlineStr">
        <is>
          <t xml:space="preserve">    Raw Materials &amp; Inventory</t>
        </is>
      </c>
      <c r="B14" s="185" t="n">
        <v>-3368000</v>
      </c>
      <c r="C14" s="186" t="n">
        <v>0.8043945545736805</v>
      </c>
    </row>
    <row r="15">
      <c r="A15" s="184" t="inlineStr">
        <is>
          <t xml:space="preserve">    Inbound Logistics</t>
        </is>
      </c>
      <c r="B15" s="185" t="n">
        <v>-24000</v>
      </c>
      <c r="C15" s="186" t="n">
        <v>0.005732027704800574</v>
      </c>
    </row>
    <row r="16">
      <c r="A16" s="190" t="inlineStr">
        <is>
          <t>TOTAL COGS</t>
        </is>
      </c>
      <c r="B16" s="191" t="n">
        <v>-3392000</v>
      </c>
      <c r="C16" s="192" t="n">
        <v>0.810126582278481</v>
      </c>
    </row>
    <row r="17">
      <c r="A17" s="190" t="inlineStr">
        <is>
          <t>GROSS MARGIN</t>
        </is>
      </c>
      <c r="B17" s="191" t="n">
        <v>795000</v>
      </c>
      <c r="C17" s="192" t="n">
        <v>0.189873417721519</v>
      </c>
    </row>
    <row r="19">
      <c r="A19" s="182" t="inlineStr">
        <is>
          <t>C. CHANNEL &amp; FULFILMENT</t>
        </is>
      </c>
      <c r="B19" s="183" t="n"/>
      <c r="C19" s="183" t="n"/>
    </row>
    <row r="20">
      <c r="A20" s="184" t="inlineStr">
        <is>
          <t xml:space="preserve">    Outward Logistics</t>
        </is>
      </c>
      <c r="B20" s="185" t="n">
        <v>-11000</v>
      </c>
      <c r="C20" s="186" t="n">
        <v>0.002627179364700263</v>
      </c>
    </row>
    <row r="21">
      <c r="A21" s="184" t="inlineStr">
        <is>
          <t xml:space="preserve">    Channel Spends</t>
        </is>
      </c>
      <c r="B21" s="185" t="n">
        <v>-890000</v>
      </c>
      <c r="C21" s="186" t="n">
        <v>0.2125626940530213</v>
      </c>
    </row>
    <row r="22">
      <c r="A22" s="190" t="inlineStr">
        <is>
          <t>TOTAL CHANNEL &amp; FULFILMENT</t>
        </is>
      </c>
      <c r="B22" s="191" t="n">
        <v>-901000</v>
      </c>
      <c r="C22" s="192" t="n">
        <v>0.2151898734177215</v>
      </c>
    </row>
    <row r="23">
      <c r="A23" s="190" t="inlineStr">
        <is>
          <t>CM1 (Contribution Margin 1)</t>
        </is>
      </c>
      <c r="B23" s="191" t="n">
        <v>-106000</v>
      </c>
      <c r="C23" s="192" t="n">
        <v>-0.02531645569620253</v>
      </c>
    </row>
    <row r="25">
      <c r="A25" s="182" t="inlineStr">
        <is>
          <t>D. SALES &amp; MARKETING</t>
        </is>
      </c>
      <c r="B25" s="183" t="n"/>
      <c r="C25" s="183" t="n"/>
    </row>
    <row r="26">
      <c r="A26" s="184" t="inlineStr">
        <is>
          <t xml:space="preserve">    Performance Marketing (own website)</t>
        </is>
      </c>
      <c r="B26" s="185" t="n">
        <v>-2193000</v>
      </c>
      <c r="C26" s="186" t="n">
        <v>0.5237640315261524</v>
      </c>
    </row>
    <row r="27">
      <c r="A27" s="184" t="inlineStr">
        <is>
          <t xml:space="preserve">    Brand Building</t>
        </is>
      </c>
      <c r="B27" s="185" t="n">
        <v>-108000</v>
      </c>
      <c r="C27" s="186" t="n">
        <v>0.02579412467160258</v>
      </c>
    </row>
    <row r="28">
      <c r="A28" s="190" t="inlineStr">
        <is>
          <t>TOTAL SALES &amp; MARKETING</t>
        </is>
      </c>
      <c r="B28" s="191" t="n">
        <v>-2301000</v>
      </c>
      <c r="C28" s="192" t="n">
        <v>0.5495581561977549</v>
      </c>
    </row>
    <row r="29">
      <c r="A29" s="190" t="inlineStr">
        <is>
          <t>CM2 (Contribution Margin 2)</t>
        </is>
      </c>
      <c r="B29" s="191" t="n">
        <v>-2407000</v>
      </c>
      <c r="C29" s="192" t="n">
        <v>-0.5748746118939575</v>
      </c>
    </row>
    <row r="31">
      <c r="A31" s="182" t="inlineStr">
        <is>
          <t>E. OTHER DIRECT</t>
        </is>
      </c>
      <c r="B31" s="183" t="n"/>
      <c r="C31" s="183" t="n"/>
    </row>
    <row r="32">
      <c r="A32" s="184" t="inlineStr">
        <is>
          <t xml:space="preserve">    Non-margin expenses</t>
        </is>
      </c>
      <c r="B32" s="185" t="n">
        <v>-18000</v>
      </c>
      <c r="C32" s="186" t="n">
        <v>0.00429902077860043</v>
      </c>
    </row>
    <row r="33">
      <c r="A33" s="190" t="inlineStr">
        <is>
          <t>CM3 (Contribution Margin 3)</t>
        </is>
      </c>
      <c r="B33" s="191" t="n">
        <v>-2425000</v>
      </c>
      <c r="C33" s="192" t="n">
        <v>-0.5791736326725579</v>
      </c>
    </row>
    <row r="35">
      <c r="A35" s="182" t="inlineStr">
        <is>
          <t>F. OPERATING EXPENSES</t>
        </is>
      </c>
      <c r="B35" s="183" t="n"/>
      <c r="C35" s="183" t="n"/>
    </row>
    <row r="36">
      <c r="A36" s="184" t="inlineStr">
        <is>
          <t xml:space="preserve">    Salary Cost</t>
        </is>
      </c>
      <c r="B36" s="185" t="n">
        <v>-235000</v>
      </c>
      <c r="C36" s="186" t="n">
        <v>0.05612610460950562</v>
      </c>
    </row>
    <row r="37">
      <c r="A37" s="184" t="inlineStr">
        <is>
          <t xml:space="preserve">    Corporate Overheads</t>
        </is>
      </c>
      <c r="B37" s="185" t="n">
        <v>-72000</v>
      </c>
      <c r="C37" s="186" t="n">
        <v>0.01719608311440172</v>
      </c>
    </row>
    <row r="38">
      <c r="A38" s="190" t="inlineStr">
        <is>
          <t>TOTAL OPERATING EXPENSES</t>
        </is>
      </c>
      <c r="B38" s="191" t="n">
        <v>-307000</v>
      </c>
      <c r="C38" s="192" t="n">
        <v>0.07332218772390733</v>
      </c>
    </row>
    <row r="39">
      <c r="A39" s="187" t="inlineStr">
        <is>
          <t>EBITDA</t>
        </is>
      </c>
      <c r="B39" s="188" t="n">
        <v>-2732000</v>
      </c>
      <c r="C39" s="189" t="n">
        <v>-0.6524958203964653</v>
      </c>
    </row>
    <row r="41">
      <c r="A41" s="182" t="inlineStr">
        <is>
          <t>G. NON-OPERATING</t>
        </is>
      </c>
      <c r="B41" s="183" t="n"/>
      <c r="C41" s="183" t="n"/>
    </row>
    <row r="42">
      <c r="A42" s="184" t="inlineStr">
        <is>
          <t xml:space="preserve">    Interest Expense</t>
        </is>
      </c>
      <c r="B42" s="185" t="n">
        <v>-149000</v>
      </c>
      <c r="C42" s="186" t="n">
        <v>0.03558633866730356</v>
      </c>
    </row>
    <row r="43">
      <c r="A43" s="190" t="inlineStr">
        <is>
          <t>TOTAL NON-OPERATING</t>
        </is>
      </c>
      <c r="B43" s="191" t="n">
        <v>-149000</v>
      </c>
      <c r="C43" s="192" t="n">
        <v>0.03558633866730356</v>
      </c>
    </row>
    <row r="44">
      <c r="A44" s="187" t="inlineStr">
        <is>
          <t>NET INCOME (pre-depreciation)</t>
        </is>
      </c>
      <c r="B44" s="188" t="n">
        <v>-2881000</v>
      </c>
      <c r="C44" s="189" t="n">
        <v>-0.6880821590637688</v>
      </c>
    </row>
    <row r="46">
      <c r="A46" s="184" t="inlineStr">
        <is>
          <t>Memo: Depreciation (excl. from MIS basis)</t>
        </is>
      </c>
      <c r="B46" s="185" t="n">
        <v>-0</v>
      </c>
      <c r="C46" s="18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0" customWidth="1" style="2" min="1" max="1"/>
    <col width="17" customWidth="1" style="2" min="2" max="2"/>
    <col width="13" customWidth="1" style="2" min="3" max="3"/>
  </cols>
  <sheetData>
    <row r="1" ht="24" customHeight="1" s="2">
      <c r="A1" s="61" t="inlineStr">
        <is>
          <t>Mar 2026 - PROFIT &amp; LOSS STATEMENT</t>
        </is>
      </c>
    </row>
    <row r="2">
      <c r="A2" s="63" t="inlineStr">
        <is>
          <t>Heatronics Pvt Ltd</t>
        </is>
      </c>
    </row>
    <row r="3">
      <c r="A3" s="63" t="inlineStr">
        <is>
          <t>Generated: 12 Jun 2026  |  Source: Sales Registers + Balance Sheet (actuals)</t>
        </is>
      </c>
    </row>
    <row r="4">
      <c r="A4" s="64" t="n"/>
      <c r="B4" s="65" t="n"/>
      <c r="C4" s="65" t="n"/>
    </row>
    <row r="5">
      <c r="A5" s="64" t="inlineStr">
        <is>
          <t>Net Sales taken from books (Trading A/c). COGM = actual consumption (Opening+Purchases-Closing). Depreciation excluded (consistent with prior months).</t>
        </is>
      </c>
      <c r="B5" s="65" t="n"/>
      <c r="C5" s="65" t="n"/>
    </row>
    <row r="6">
      <c r="A6" s="64" t="n"/>
      <c r="B6" s="65" t="n"/>
      <c r="C6" s="65" t="n"/>
    </row>
    <row r="7">
      <c r="A7" s="43" t="inlineStr">
        <is>
          <t>Particulars</t>
        </is>
      </c>
      <c r="B7" s="66" t="inlineStr">
        <is>
          <t>Amount (₹)</t>
        </is>
      </c>
      <c r="C7" s="66" t="inlineStr">
        <is>
          <t>% of Revenue</t>
        </is>
      </c>
    </row>
    <row r="8">
      <c r="A8" s="54" t="inlineStr">
        <is>
          <t>A. GROSS REVENUE (from Sales Register, by channel)</t>
        </is>
      </c>
      <c r="B8" s="67" t="n"/>
      <c r="C8" s="67" t="n"/>
    </row>
    <row r="9">
      <c r="A9" s="64" t="inlineStr">
        <is>
          <t xml:space="preserve">    D2C</t>
        </is>
      </c>
      <c r="B9" s="68" t="n">
        <v>2094288</v>
      </c>
      <c r="C9" s="69" t="n">
        <v>0.5438554506976433</v>
      </c>
    </row>
    <row r="10">
      <c r="A10" s="64" t="inlineStr">
        <is>
          <t xml:space="preserve">    Amazon</t>
        </is>
      </c>
      <c r="B10" s="68" t="n">
        <v>1265752.38</v>
      </c>
      <c r="C10" s="69" t="n">
        <v>0.3286970708405504</v>
      </c>
    </row>
    <row r="11">
      <c r="A11" s="64" t="inlineStr">
        <is>
          <t xml:space="preserve">    Blinkit</t>
        </is>
      </c>
      <c r="B11" s="68" t="n">
        <v>346709</v>
      </c>
      <c r="C11" s="69" t="n">
        <v>0.09003517159814181</v>
      </c>
    </row>
    <row r="12">
      <c r="A12" s="64" t="inlineStr">
        <is>
          <t xml:space="preserve">    OEM</t>
        </is>
      </c>
      <c r="B12" s="68" t="n">
        <v>390626</v>
      </c>
      <c r="C12" s="69" t="n">
        <v>0.1014397634347414</v>
      </c>
    </row>
    <row r="13">
      <c r="A13" s="64" t="inlineStr">
        <is>
          <t xml:space="preserve">    Offline</t>
        </is>
      </c>
      <c r="B13" s="68" t="n">
        <v>199345</v>
      </c>
      <c r="C13" s="69" t="n">
        <v>0.05176693215991388</v>
      </c>
    </row>
    <row r="14">
      <c r="A14" s="70" t="inlineStr">
        <is>
          <t>TOTAL GROSS REVENUE</t>
        </is>
      </c>
      <c r="B14" s="71" t="n">
        <v>4296720.38</v>
      </c>
      <c r="C14" s="72" t="n"/>
    </row>
    <row r="15">
      <c r="A15" s="64" t="inlineStr"/>
      <c r="B15" s="65" t="n"/>
      <c r="C15" s="65" t="n"/>
    </row>
    <row r="16">
      <c r="A16" s="54" t="inlineStr">
        <is>
          <t>B. RETURNS</t>
        </is>
      </c>
      <c r="B16" s="67" t="n"/>
      <c r="C16" s="67" t="n"/>
    </row>
    <row r="17">
      <c r="A17" s="64" t="inlineStr">
        <is>
          <t xml:space="preserve">    Amazon Returns</t>
        </is>
      </c>
      <c r="B17" s="73" t="n">
        <v>-145704</v>
      </c>
      <c r="C17" s="69" t="n">
        <v>-0.03783716212309359</v>
      </c>
    </row>
    <row r="18">
      <c r="A18" s="64" t="inlineStr">
        <is>
          <t xml:space="preserve">    Offline Returns</t>
        </is>
      </c>
      <c r="B18" s="73" t="n">
        <v>-107658</v>
      </c>
      <c r="C18" s="69" t="n">
        <v>-0.0279571816823698</v>
      </c>
    </row>
    <row r="19">
      <c r="A19" s="70" t="inlineStr">
        <is>
          <t>TOTAL RETURNS</t>
        </is>
      </c>
      <c r="B19" s="71" t="n">
        <v>-253362</v>
      </c>
      <c r="C19" s="74" t="n">
        <v>-0.0657943438054634</v>
      </c>
    </row>
    <row r="20">
      <c r="A20" s="64" t="inlineStr"/>
      <c r="B20" s="65" t="n"/>
      <c r="C20" s="65" t="n"/>
    </row>
    <row r="21">
      <c r="A21" s="54" t="inlineStr">
        <is>
          <t>D. TAXES (GST Collected)</t>
        </is>
      </c>
      <c r="B21" s="67" t="n"/>
      <c r="C21" s="67" t="n"/>
    </row>
    <row r="22">
      <c r="A22" s="70" t="inlineStr">
        <is>
          <t>TOTAL TAXES</t>
        </is>
      </c>
      <c r="B22" s="71" t="n">
        <v>-192541.04</v>
      </c>
      <c r="C22" s="74" t="n">
        <v>0.05000004492552743</v>
      </c>
    </row>
    <row r="23">
      <c r="A23" s="64" t="inlineStr"/>
      <c r="B23" s="65" t="n"/>
      <c r="C23" s="65" t="n"/>
    </row>
    <row r="24">
      <c r="A24" s="75" t="inlineStr">
        <is>
          <t>NET REVENUE (external)</t>
        </is>
      </c>
      <c r="B24" s="76" t="n">
        <v>3850817.34</v>
      </c>
      <c r="C24" s="77" t="n">
        <v>1</v>
      </c>
    </row>
    <row r="25">
      <c r="A25" s="64" t="inlineStr"/>
      <c r="B25" s="65" t="n"/>
      <c r="C25" s="65" t="n"/>
    </row>
    <row r="26">
      <c r="A26" s="64" t="inlineStr">
        <is>
          <t>Add: Inter-branch (Internal) Transactions</t>
        </is>
      </c>
      <c r="B26" s="68" t="n">
        <v>541687</v>
      </c>
      <c r="C26" s="69" t="n">
        <v>0.1406680587970968</v>
      </c>
    </row>
    <row r="27">
      <c r="A27" s="70" t="inlineStr">
        <is>
          <t>TURNOVER (Total — audited basis)</t>
        </is>
      </c>
      <c r="B27" s="71" t="n">
        <v>4392504.34</v>
      </c>
      <c r="C27" s="74" t="n">
        <v>1.140668058797097</v>
      </c>
    </row>
    <row r="28">
      <c r="A28" s="64" t="inlineStr"/>
      <c r="B28" s="65" t="n"/>
      <c r="C28" s="65" t="n"/>
    </row>
    <row r="29">
      <c r="A29" s="54" t="inlineStr">
        <is>
          <t>E. COST OF GOODS MANUFACTURED (actual consumption)</t>
        </is>
      </c>
      <c r="B29" s="67" t="n"/>
      <c r="C29" s="67" t="n"/>
    </row>
    <row r="30">
      <c r="A30" s="64" t="inlineStr">
        <is>
          <t xml:space="preserve">    Raw Materials &amp; Inventory</t>
        </is>
      </c>
      <c r="B30" s="68" t="n">
        <v>-3725983.15</v>
      </c>
      <c r="C30" s="69" t="n">
        <v>0.9675824171914629</v>
      </c>
    </row>
    <row r="31">
      <c r="A31" s="64" t="inlineStr">
        <is>
          <t xml:space="preserve">    Factory Maintenance</t>
        </is>
      </c>
      <c r="B31" s="68" t="n">
        <v>-53944</v>
      </c>
      <c r="C31" s="69" t="n">
        <v>0.01400845463108879</v>
      </c>
    </row>
    <row r="32">
      <c r="A32" s="64" t="inlineStr">
        <is>
          <t xml:space="preserve">    Inbound Transport</t>
        </is>
      </c>
      <c r="B32" s="68" t="n">
        <v>-584799.22</v>
      </c>
      <c r="C32" s="69" t="n">
        <v>0.1518636612350977</v>
      </c>
    </row>
    <row r="33">
      <c r="A33" s="64" t="inlineStr">
        <is>
          <t xml:space="preserve">    Job work</t>
        </is>
      </c>
      <c r="B33" s="68" t="n">
        <v>-66579.75</v>
      </c>
      <c r="C33" s="69" t="n">
        <v>0.01728977100741943</v>
      </c>
    </row>
    <row r="34">
      <c r="A34" s="70" t="inlineStr">
        <is>
          <t>TOTAL COGM</t>
        </is>
      </c>
      <c r="B34" s="71" t="n">
        <v>-4431306.12</v>
      </c>
      <c r="C34" s="74" t="n">
        <v>1.150744304065069</v>
      </c>
    </row>
    <row r="35">
      <c r="A35" s="64" t="inlineStr"/>
      <c r="B35" s="65" t="n"/>
      <c r="C35" s="65" t="n"/>
    </row>
    <row r="36">
      <c r="A36" s="70" t="inlineStr">
        <is>
          <t>GROSS MARGIN</t>
        </is>
      </c>
      <c r="B36" s="71" t="n">
        <v>-580488.78</v>
      </c>
      <c r="C36" s="74" t="n">
        <v>-0.1507443040650688</v>
      </c>
    </row>
    <row r="37">
      <c r="A37" s="64" t="inlineStr"/>
      <c r="B37" s="65" t="n"/>
      <c r="C37" s="65" t="n"/>
    </row>
    <row r="38">
      <c r="A38" s="54" t="inlineStr">
        <is>
          <t>F. CHANNEL &amp; FULFILLMENT</t>
        </is>
      </c>
      <c r="B38" s="67" t="n"/>
      <c r="C38" s="67" t="n"/>
    </row>
    <row r="39">
      <c r="A39" s="64" t="inlineStr">
        <is>
          <t xml:space="preserve">    Amazon Fees</t>
        </is>
      </c>
      <c r="B39" s="68" t="n">
        <v>-266494.5</v>
      </c>
      <c r="C39" s="69" t="n">
        <v>0.06920465876992234</v>
      </c>
    </row>
    <row r="40">
      <c r="A40" s="64" t="inlineStr">
        <is>
          <t xml:space="preserve">    D2C Fees</t>
        </is>
      </c>
      <c r="B40" s="68" t="n">
        <v>-41120.74</v>
      </c>
      <c r="C40" s="69" t="n">
        <v>0.01067844469610704</v>
      </c>
    </row>
    <row r="41">
      <c r="A41" s="70" t="inlineStr">
        <is>
          <t>TOTAL CHANNEL &amp; FULFILLMENT</t>
        </is>
      </c>
      <c r="B41" s="71" t="n">
        <v>-307615.24</v>
      </c>
      <c r="C41" s="74" t="n">
        <v>0.07988310346602936</v>
      </c>
    </row>
    <row r="42">
      <c r="A42" s="64" t="inlineStr"/>
      <c r="B42" s="65" t="n"/>
      <c r="C42" s="65" t="n"/>
    </row>
    <row r="43">
      <c r="A43" s="70" t="inlineStr">
        <is>
          <t>CM1 (Contribution Margin 1)</t>
        </is>
      </c>
      <c r="B43" s="71" t="n">
        <v>-888104.02</v>
      </c>
      <c r="C43" s="74" t="n">
        <v>-0.2306274075310981</v>
      </c>
    </row>
    <row r="44">
      <c r="A44" s="64" t="inlineStr"/>
      <c r="B44" s="65" t="n"/>
      <c r="C44" s="65" t="n"/>
    </row>
    <row r="45">
      <c r="A45" s="54" t="inlineStr">
        <is>
          <t>G. SALES &amp; MARKETING</t>
        </is>
      </c>
      <c r="B45" s="67" t="n"/>
      <c r="C45" s="67" t="n"/>
    </row>
    <row r="46">
      <c r="A46" s="64" t="inlineStr">
        <is>
          <t xml:space="preserve">    Advertising &amp; Marketing</t>
        </is>
      </c>
      <c r="B46" s="68" t="n">
        <v>-2038965.65</v>
      </c>
      <c r="C46" s="69" t="n">
        <v>0.5294890590681718</v>
      </c>
    </row>
    <row r="47">
      <c r="A47" s="70" t="inlineStr">
        <is>
          <t>TOTAL SALES &amp; MARKETING</t>
        </is>
      </c>
      <c r="B47" s="71" t="n">
        <v>-2038965.65</v>
      </c>
      <c r="C47" s="74" t="n">
        <v>0.5294890590681718</v>
      </c>
    </row>
    <row r="48">
      <c r="A48" s="64" t="inlineStr"/>
      <c r="B48" s="65" t="n"/>
      <c r="C48" s="65" t="n"/>
    </row>
    <row r="49">
      <c r="A49" s="70" t="inlineStr">
        <is>
          <t>CM2 (Contribution Margin 2)</t>
        </is>
      </c>
      <c r="B49" s="71" t="n">
        <v>-2927069.67</v>
      </c>
      <c r="C49" s="74" t="n">
        <v>-0.7601164665992698</v>
      </c>
    </row>
    <row r="50">
      <c r="A50" s="64" t="inlineStr"/>
      <c r="B50" s="65" t="n"/>
      <c r="C50" s="65" t="n"/>
    </row>
    <row r="51">
      <c r="A51" s="54" t="inlineStr">
        <is>
          <t>H. PLATFORM COSTS</t>
        </is>
      </c>
      <c r="B51" s="67" t="n"/>
      <c r="C51" s="67" t="n"/>
    </row>
    <row r="52">
      <c r="A52" s="64" t="inlineStr">
        <is>
          <t xml:space="preserve">    Platform / Software Subscriptions</t>
        </is>
      </c>
      <c r="B52" s="68" t="n">
        <v>-24789.27</v>
      </c>
      <c r="C52" s="69" t="n">
        <v>0.006437404792614755</v>
      </c>
    </row>
    <row r="53">
      <c r="A53" s="70" t="inlineStr">
        <is>
          <t>TOTAL PLATFORM COSTS</t>
        </is>
      </c>
      <c r="B53" s="71" t="n">
        <v>-24789.27</v>
      </c>
      <c r="C53" s="74" t="n">
        <v>0.006437404792614755</v>
      </c>
    </row>
    <row r="54">
      <c r="A54" s="64" t="inlineStr"/>
      <c r="B54" s="65" t="n"/>
      <c r="C54" s="65" t="n"/>
    </row>
    <row r="55">
      <c r="A55" s="70" t="inlineStr">
        <is>
          <t>CM3 (Contribution Margin 3)</t>
        </is>
      </c>
      <c r="B55" s="71" t="n">
        <v>-2951858.94</v>
      </c>
      <c r="C55" s="74" t="n">
        <v>-0.7665538713918846</v>
      </c>
    </row>
    <row r="56">
      <c r="A56" s="64" t="inlineStr"/>
      <c r="B56" s="65" t="n"/>
      <c r="C56" s="65" t="n"/>
    </row>
    <row r="57">
      <c r="A57" s="54" t="inlineStr">
        <is>
          <t>I. OPERATING EXPENSES</t>
        </is>
      </c>
      <c r="B57" s="67" t="n"/>
      <c r="C57" s="67" t="n"/>
    </row>
    <row r="58">
      <c r="A58" s="64" t="inlineStr">
        <is>
          <t xml:space="preserve">    Banks &amp; Finance Charges</t>
        </is>
      </c>
      <c r="B58" s="68" t="n">
        <v>-41583.36</v>
      </c>
      <c r="C58" s="69" t="n">
        <v>0.01079858023076213</v>
      </c>
    </row>
    <row r="59">
      <c r="A59" s="64" t="inlineStr">
        <is>
          <t xml:space="preserve">    Other Operating Expenses</t>
        </is>
      </c>
      <c r="B59" s="68" t="n">
        <v>-17312.17</v>
      </c>
      <c r="C59" s="69" t="n">
        <v>0.004495713110090027</v>
      </c>
    </row>
    <row r="60">
      <c r="A60" s="64" t="inlineStr">
        <is>
          <t xml:space="preserve">    Administrative Expenses</t>
        </is>
      </c>
      <c r="B60" s="68" t="n">
        <v>-656512.63</v>
      </c>
      <c r="C60" s="69" t="n">
        <v>0.1704865674049344</v>
      </c>
    </row>
    <row r="61">
      <c r="A61" s="64" t="inlineStr">
        <is>
          <t xml:space="preserve">    Miscellaneous (Travel, insurance)</t>
        </is>
      </c>
      <c r="B61" s="68" t="n">
        <v>-9150</v>
      </c>
      <c r="C61" s="69" t="n">
        <v>0.002376118935830906</v>
      </c>
    </row>
    <row r="62">
      <c r="A62" t="inlineStr">
        <is>
          <t xml:space="preserve">    Staff Welfare &amp; Events</t>
        </is>
      </c>
      <c r="B62" s="78" t="n">
        <v>-3007.75</v>
      </c>
      <c r="C62" s="79" t="n">
        <v>0.0007810679485514107</v>
      </c>
    </row>
    <row r="63">
      <c r="A63" t="inlineStr">
        <is>
          <t xml:space="preserve">    Salaries (Admin Mgmt)</t>
        </is>
      </c>
      <c r="B63" s="78" t="n">
        <v>-736149</v>
      </c>
      <c r="C63" s="79" t="n">
        <v>0.1911669484691788</v>
      </c>
    </row>
    <row r="64">
      <c r="A64" t="inlineStr">
        <is>
          <t xml:space="preserve">    Legal &amp; CA expenses</t>
        </is>
      </c>
      <c r="B64" s="78" t="n">
        <v>-206310</v>
      </c>
      <c r="C64" s="79" t="n">
        <v>0.05357563908757095</v>
      </c>
    </row>
    <row r="65">
      <c r="A65" s="70" t="inlineStr">
        <is>
          <t>TOTAL OPERATING EXPENSES</t>
        </is>
      </c>
      <c r="B65" s="71" t="n">
        <v>-1670024.91</v>
      </c>
      <c r="C65" s="74" t="n">
        <v>0.4336806351869186</v>
      </c>
    </row>
    <row r="66">
      <c r="B66" s="62" t="n"/>
      <c r="C66" s="62" t="n"/>
    </row>
    <row r="67">
      <c r="A67" s="70" t="inlineStr">
        <is>
          <t>EBITDA</t>
        </is>
      </c>
      <c r="B67" s="71" t="n">
        <v>-4621883.85</v>
      </c>
      <c r="C67" s="74" t="n">
        <v>-1.200234506578803</v>
      </c>
    </row>
    <row r="68">
      <c r="B68" s="62" t="n"/>
      <c r="C68" s="62" t="n"/>
    </row>
    <row r="69">
      <c r="A69" s="54" t="inlineStr">
        <is>
          <t>J. NON-OPERATING</t>
        </is>
      </c>
      <c r="B69" s="80" t="n"/>
      <c r="C69" s="80" t="n"/>
    </row>
    <row r="70">
      <c r="A70" t="inlineStr">
        <is>
          <t xml:space="preserve">    Less: Interest Expense</t>
        </is>
      </c>
      <c r="B70" s="78" t="n">
        <v>-87992</v>
      </c>
      <c r="C70" s="79" t="n">
        <v>0.02285021392367575</v>
      </c>
    </row>
    <row r="71">
      <c r="A71" s="70" t="inlineStr">
        <is>
          <t>TOTAL NON-OPERATING</t>
        </is>
      </c>
      <c r="B71" s="71" t="n">
        <v>-87992</v>
      </c>
      <c r="C71" s="74" t="n">
        <v>0.02285021392367575</v>
      </c>
    </row>
    <row r="72">
      <c r="B72" s="62" t="n"/>
      <c r="C72" s="62" t="n"/>
    </row>
    <row r="73">
      <c r="A73" s="70" t="inlineStr">
        <is>
          <t>NET INCOME (pre-depreciation, per MIS basis)</t>
        </is>
      </c>
      <c r="B73" s="71" t="n">
        <v>-4709875.85</v>
      </c>
      <c r="C73" s="74" t="n">
        <v>-1.223084720502479</v>
      </c>
    </row>
    <row r="74">
      <c r="B74" s="62" t="n"/>
      <c r="C74" s="62" t="n"/>
    </row>
    <row r="75">
      <c r="A75" t="inlineStr">
        <is>
          <t>Memo: Depreciation (excluded from MIS EBITDA basis)</t>
        </is>
      </c>
      <c r="B75" s="78" t="n">
        <v>-1291036</v>
      </c>
      <c r="C75" s="79" t="n">
        <v>0.3352628509769825</v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0" customWidth="1" style="2" min="1" max="1"/>
    <col width="17" customWidth="1" style="2" min="2" max="2"/>
    <col width="13" customWidth="1" style="2" min="3" max="3"/>
  </cols>
  <sheetData>
    <row r="1" ht="24" customHeight="1" s="2">
      <c r="A1" s="61" t="inlineStr">
        <is>
          <t>Feb 2026 - PROFIT &amp; LOSS STATEMENT</t>
        </is>
      </c>
    </row>
    <row r="2">
      <c r="A2" s="63" t="inlineStr">
        <is>
          <t>Heatronics Pvt Ltd</t>
        </is>
      </c>
    </row>
    <row r="3">
      <c r="A3" s="63" t="inlineStr">
        <is>
          <t>Generated: 12 Jun 2026  |  Source: Sales Registers + Balance Sheet (actuals)</t>
        </is>
      </c>
    </row>
    <row r="4">
      <c r="A4" s="64" t="n"/>
      <c r="B4" s="65" t="n"/>
      <c r="C4" s="65" t="n"/>
    </row>
    <row r="5">
      <c r="A5" s="64" t="inlineStr">
        <is>
          <t>Net Sales taken from books (Trading A/c). COGM = actual consumption (Opening+Purchases-Closing). Depreciation excluded (consistent with prior months).</t>
        </is>
      </c>
      <c r="B5" s="65" t="n"/>
      <c r="C5" s="65" t="n"/>
    </row>
    <row r="6">
      <c r="A6" s="64" t="n"/>
      <c r="B6" s="65" t="n"/>
      <c r="C6" s="65" t="n"/>
    </row>
    <row r="7">
      <c r="A7" s="43" t="inlineStr">
        <is>
          <t>Particulars</t>
        </is>
      </c>
      <c r="B7" s="66" t="inlineStr">
        <is>
          <t>Amount (₹)</t>
        </is>
      </c>
      <c r="C7" s="66" t="inlineStr">
        <is>
          <t>% of Revenue</t>
        </is>
      </c>
    </row>
    <row r="8">
      <c r="A8" s="54" t="inlineStr">
        <is>
          <t>A. GROSS REVENUE (from Sales Register, by channel)</t>
        </is>
      </c>
      <c r="B8" s="67" t="n"/>
      <c r="C8" s="67" t="n"/>
    </row>
    <row r="9">
      <c r="A9" s="64" t="inlineStr">
        <is>
          <t xml:space="preserve">    D2C</t>
        </is>
      </c>
      <c r="B9" s="68" t="n">
        <v>3298145</v>
      </c>
      <c r="C9" s="69" t="n">
        <v>0.7343936683352791</v>
      </c>
    </row>
    <row r="10">
      <c r="A10" s="64" t="inlineStr">
        <is>
          <t xml:space="preserve">    Amazon</t>
        </is>
      </c>
      <c r="B10" s="68" t="n">
        <v>341288.73</v>
      </c>
      <c r="C10" s="69" t="n">
        <v>0.07599431874165284</v>
      </c>
    </row>
    <row r="11">
      <c r="A11" s="64" t="inlineStr">
        <is>
          <t xml:space="preserve">    Blinkit</t>
        </is>
      </c>
      <c r="B11" s="68" t="n">
        <v>130680</v>
      </c>
      <c r="C11" s="69" t="n">
        <v>0.02909834606363706</v>
      </c>
    </row>
    <row r="12">
      <c r="A12" s="64" t="inlineStr">
        <is>
          <t xml:space="preserve">    OEM</t>
        </is>
      </c>
      <c r="B12" s="68" t="n">
        <v>981250</v>
      </c>
      <c r="C12" s="69" t="n">
        <v>0.2184936644853372</v>
      </c>
    </row>
    <row r="13">
      <c r="A13" s="64" t="inlineStr">
        <is>
          <t xml:space="preserve">    Offline</t>
        </is>
      </c>
      <c r="B13" s="68" t="n">
        <v>250707.54</v>
      </c>
      <c r="C13" s="69" t="n">
        <v>0.05582472267893428</v>
      </c>
    </row>
    <row r="14">
      <c r="A14" s="70" t="inlineStr">
        <is>
          <t>TOTAL GROSS REVENUE</t>
        </is>
      </c>
      <c r="B14" s="71" t="n">
        <v>5002071.27</v>
      </c>
      <c r="C14" s="72" t="n"/>
    </row>
    <row r="15">
      <c r="A15" s="64" t="inlineStr"/>
      <c r="B15" s="65" t="n"/>
      <c r="C15" s="65" t="n"/>
    </row>
    <row r="16">
      <c r="A16" s="54" t="inlineStr">
        <is>
          <t>B. RETURNS</t>
        </is>
      </c>
      <c r="B16" s="67" t="n"/>
      <c r="C16" s="67" t="n"/>
    </row>
    <row r="17">
      <c r="A17" s="64" t="inlineStr">
        <is>
          <t xml:space="preserve">    Amazon Returns</t>
        </is>
      </c>
      <c r="B17" s="73" t="n">
        <v>-45700.4</v>
      </c>
      <c r="C17" s="69" t="n">
        <v>-0.01017604877905295</v>
      </c>
    </row>
    <row r="18">
      <c r="A18" s="64" t="inlineStr">
        <is>
          <t xml:space="preserve">    Blinkit Returns</t>
        </is>
      </c>
      <c r="B18" s="73" t="n">
        <v>-159800</v>
      </c>
      <c r="C18" s="69" t="n">
        <v>-0.03558245868510256</v>
      </c>
    </row>
    <row r="19">
      <c r="A19" s="64" t="inlineStr">
        <is>
          <t xml:space="preserve">    OEM Returns</t>
        </is>
      </c>
      <c r="B19" s="73" t="n">
        <v>-18669</v>
      </c>
      <c r="C19" s="69" t="n">
        <v>-0.004157002009963578</v>
      </c>
    </row>
    <row r="20">
      <c r="A20" s="64" t="inlineStr">
        <is>
          <t xml:space="preserve">    Offline Returns</t>
        </is>
      </c>
      <c r="B20" s="73" t="n">
        <v>-62376</v>
      </c>
      <c r="C20" s="69" t="n">
        <v>-0.01388918299713365</v>
      </c>
    </row>
    <row r="21">
      <c r="A21" s="70" t="inlineStr">
        <is>
          <t>TOTAL RETURNS</t>
        </is>
      </c>
      <c r="B21" s="71" t="n">
        <v>-286545.4</v>
      </c>
      <c r="C21" s="74" t="n">
        <v>-0.06380469247125274</v>
      </c>
    </row>
    <row r="22">
      <c r="A22" s="64" t="inlineStr"/>
      <c r="B22" s="65" t="n"/>
      <c r="C22" s="65" t="n"/>
    </row>
    <row r="23">
      <c r="A23" s="54" t="inlineStr">
        <is>
          <t>D. TAXES (GST Collected)</t>
        </is>
      </c>
      <c r="B23" s="67" t="n"/>
      <c r="C23" s="67" t="n"/>
    </row>
    <row r="24">
      <c r="A24" s="70" t="inlineStr">
        <is>
          <t>TOTAL TAXES</t>
        </is>
      </c>
      <c r="B24" s="71" t="n">
        <v>-224548.97</v>
      </c>
      <c r="C24" s="74" t="n">
        <v>0.05000002783358783</v>
      </c>
    </row>
    <row r="25">
      <c r="A25" s="64" t="inlineStr"/>
      <c r="B25" s="65" t="n"/>
      <c r="C25" s="65" t="n"/>
    </row>
    <row r="26">
      <c r="A26" s="75" t="inlineStr">
        <is>
          <t>NET REVENUE (external)</t>
        </is>
      </c>
      <c r="B26" s="76" t="n">
        <v>4490976.9</v>
      </c>
      <c r="C26" s="77" t="n">
        <v>1</v>
      </c>
    </row>
    <row r="27">
      <c r="A27" s="64" t="inlineStr"/>
      <c r="B27" s="65" t="n"/>
      <c r="C27" s="65" t="n"/>
    </row>
    <row r="28">
      <c r="A28" s="64" t="inlineStr">
        <is>
          <t>Add: Inter-branch (Internal) Transactions</t>
        </is>
      </c>
      <c r="B28" s="68" t="n">
        <v>277240</v>
      </c>
      <c r="C28" s="69" t="n">
        <v>0.06173267112551836</v>
      </c>
    </row>
    <row r="29">
      <c r="A29" s="70" t="inlineStr">
        <is>
          <t>TURNOVER (Total — audited basis)</t>
        </is>
      </c>
      <c r="B29" s="71" t="n">
        <v>4768216.9</v>
      </c>
      <c r="C29" s="74" t="n">
        <v>1.061732671125518</v>
      </c>
    </row>
    <row r="30">
      <c r="A30" s="64" t="inlineStr"/>
      <c r="B30" s="65" t="n"/>
      <c r="C30" s="65" t="n"/>
    </row>
    <row r="31">
      <c r="A31" s="54" t="inlineStr">
        <is>
          <t>E. COST OF GOODS MANUFACTURED (actual consumption)</t>
        </is>
      </c>
      <c r="B31" s="67" t="n"/>
      <c r="C31" s="67" t="n"/>
    </row>
    <row r="32">
      <c r="A32" s="64" t="inlineStr">
        <is>
          <t xml:space="preserve">    Raw Materials &amp; Inventory</t>
        </is>
      </c>
      <c r="B32" s="68" t="n">
        <v>-1146878.43</v>
      </c>
      <c r="C32" s="69" t="n">
        <v>0.2553739321170857</v>
      </c>
    </row>
    <row r="33">
      <c r="A33" s="64" t="inlineStr">
        <is>
          <t xml:space="preserve">    Factory Maintenance</t>
        </is>
      </c>
      <c r="B33" s="68" t="n">
        <v>-36364</v>
      </c>
      <c r="C33" s="69" t="n">
        <v>0.008097124703536105</v>
      </c>
    </row>
    <row r="34">
      <c r="A34" s="64" t="inlineStr">
        <is>
          <t xml:space="preserve">    Inbound Transport</t>
        </is>
      </c>
      <c r="B34" s="68" t="n">
        <v>-4200</v>
      </c>
      <c r="C34" s="69" t="n">
        <v>0.0009352085511729084</v>
      </c>
    </row>
    <row r="35">
      <c r="A35" s="64" t="inlineStr">
        <is>
          <t xml:space="preserve">    Job work</t>
        </is>
      </c>
      <c r="B35" s="68" t="n">
        <v>-52150</v>
      </c>
      <c r="C35" s="69" t="n">
        <v>0.01161217284373028</v>
      </c>
    </row>
    <row r="36">
      <c r="A36" s="70" t="inlineStr">
        <is>
          <t>TOTAL COGM</t>
        </is>
      </c>
      <c r="B36" s="71" t="n">
        <v>-1239592.43</v>
      </c>
      <c r="C36" s="74" t="n">
        <v>0.276018438215525</v>
      </c>
    </row>
    <row r="37">
      <c r="A37" s="64" t="inlineStr"/>
      <c r="B37" s="65" t="n"/>
      <c r="C37" s="65" t="n"/>
    </row>
    <row r="38">
      <c r="A38" s="70" t="inlineStr">
        <is>
          <t>GROSS MARGIN</t>
        </is>
      </c>
      <c r="B38" s="71" t="n">
        <v>3251384.47</v>
      </c>
      <c r="C38" s="74" t="n">
        <v>0.723981561784475</v>
      </c>
    </row>
    <row r="39">
      <c r="A39" s="64" t="inlineStr"/>
      <c r="B39" s="65" t="n"/>
      <c r="C39" s="65" t="n"/>
    </row>
    <row r="40">
      <c r="A40" s="54" t="inlineStr">
        <is>
          <t>F. CHANNEL &amp; FULFILLMENT</t>
        </is>
      </c>
      <c r="B40" s="67" t="n"/>
      <c r="C40" s="67" t="n"/>
    </row>
    <row r="41">
      <c r="A41" s="64" t="inlineStr">
        <is>
          <t xml:space="preserve">    Amazon Fees</t>
        </is>
      </c>
      <c r="B41" s="68" t="n">
        <v>-80722.82000000001</v>
      </c>
      <c r="C41" s="69" t="n">
        <v>0.01797444560447417</v>
      </c>
    </row>
    <row r="42">
      <c r="A42" s="64" t="inlineStr">
        <is>
          <t xml:space="preserve">    D2C Fees</t>
        </is>
      </c>
      <c r="B42" s="68" t="n">
        <v>-45096.11</v>
      </c>
      <c r="C42" s="69" t="n">
        <v>0.01004149230872241</v>
      </c>
    </row>
    <row r="43">
      <c r="A43" s="70" t="inlineStr">
        <is>
          <t>TOTAL CHANNEL &amp; FULFILLMENT</t>
        </is>
      </c>
      <c r="B43" s="71" t="n">
        <v>-125818.93</v>
      </c>
      <c r="C43" s="74" t="n">
        <v>0.02801593791319657</v>
      </c>
    </row>
    <row r="44">
      <c r="A44" s="64" t="inlineStr"/>
      <c r="B44" s="65" t="n"/>
      <c r="C44" s="65" t="n"/>
    </row>
    <row r="45">
      <c r="A45" s="70" t="inlineStr">
        <is>
          <t>CM1 (Contribution Margin 1)</t>
        </is>
      </c>
      <c r="B45" s="71" t="n">
        <v>3125565.54</v>
      </c>
      <c r="C45" s="74" t="n">
        <v>0.6959656238712784</v>
      </c>
    </row>
    <row r="46">
      <c r="A46" s="64" t="inlineStr"/>
      <c r="B46" s="65" t="n"/>
      <c r="C46" s="65" t="n"/>
    </row>
    <row r="47">
      <c r="A47" s="54" t="inlineStr">
        <is>
          <t>G. SALES &amp; MARKETING</t>
        </is>
      </c>
      <c r="B47" s="67" t="n"/>
      <c r="C47" s="67" t="n"/>
    </row>
    <row r="48">
      <c r="A48" s="64" t="inlineStr">
        <is>
          <t xml:space="preserve">    Advertising &amp; Marketing</t>
        </is>
      </c>
      <c r="B48" s="68" t="n">
        <v>-109919.32</v>
      </c>
      <c r="C48" s="69" t="n">
        <v>0.02447559238169317</v>
      </c>
    </row>
    <row r="49">
      <c r="A49" s="70" t="inlineStr">
        <is>
          <t>TOTAL SALES &amp; MARKETING</t>
        </is>
      </c>
      <c r="B49" s="71" t="n">
        <v>-109919.32</v>
      </c>
      <c r="C49" s="74" t="n">
        <v>0.02447559238169317</v>
      </c>
    </row>
    <row r="50">
      <c r="A50" s="64" t="inlineStr"/>
      <c r="B50" s="65" t="n"/>
      <c r="C50" s="65" t="n"/>
    </row>
    <row r="51">
      <c r="A51" s="70" t="inlineStr">
        <is>
          <t>CM2 (Contribution Margin 2)</t>
        </is>
      </c>
      <c r="B51" s="71" t="n">
        <v>3015646.22</v>
      </c>
      <c r="C51" s="74" t="n">
        <v>0.6714900314895853</v>
      </c>
    </row>
    <row r="52">
      <c r="A52" s="64" t="inlineStr"/>
      <c r="B52" s="65" t="n"/>
      <c r="C52" s="65" t="n"/>
    </row>
    <row r="53">
      <c r="A53" s="54" t="inlineStr">
        <is>
          <t>H. PLATFORM COSTS</t>
        </is>
      </c>
      <c r="B53" s="67" t="n"/>
      <c r="C53" s="67" t="n"/>
    </row>
    <row r="54">
      <c r="A54" s="64" t="inlineStr">
        <is>
          <t xml:space="preserve">    Platform / Software Subscriptions</t>
        </is>
      </c>
      <c r="B54" s="68" t="n">
        <v>-78155</v>
      </c>
      <c r="C54" s="69" t="n">
        <v>0.0174026724564092</v>
      </c>
    </row>
    <row r="55">
      <c r="A55" s="70" t="inlineStr">
        <is>
          <t>TOTAL PLATFORM COSTS</t>
        </is>
      </c>
      <c r="B55" s="71" t="n">
        <v>-78155</v>
      </c>
      <c r="C55" s="74" t="n">
        <v>0.0174026724564092</v>
      </c>
    </row>
    <row r="56">
      <c r="A56" s="64" t="inlineStr"/>
      <c r="B56" s="65" t="n"/>
      <c r="C56" s="65" t="n"/>
    </row>
    <row r="57">
      <c r="A57" s="70" t="inlineStr">
        <is>
          <t>CM3 (Contribution Margin 3)</t>
        </is>
      </c>
      <c r="B57" s="71" t="n">
        <v>2937491.22</v>
      </c>
      <c r="C57" s="74" t="n">
        <v>0.6540873590331761</v>
      </c>
    </row>
    <row r="58">
      <c r="A58" s="64" t="inlineStr"/>
      <c r="B58" s="65" t="n"/>
      <c r="C58" s="65" t="n"/>
    </row>
    <row r="59">
      <c r="A59" s="54" t="inlineStr">
        <is>
          <t>I. OPERATING EXPENSES</t>
        </is>
      </c>
      <c r="B59" s="67" t="n"/>
      <c r="C59" s="67" t="n"/>
    </row>
    <row r="60">
      <c r="A60" s="64" t="inlineStr">
        <is>
          <t xml:space="preserve">    Banks &amp; Finance Charges</t>
        </is>
      </c>
      <c r="B60" s="68" t="n">
        <v>-5000</v>
      </c>
      <c r="C60" s="69" t="n">
        <v>0.001113343513301081</v>
      </c>
    </row>
    <row r="61">
      <c r="A61" t="inlineStr">
        <is>
          <t xml:space="preserve">    Other Operating Expenses</t>
        </is>
      </c>
      <c r="B61" s="78" t="n">
        <v>-43464.98</v>
      </c>
      <c r="C61" s="79" t="n">
        <v>0.009678290707752247</v>
      </c>
    </row>
    <row r="62">
      <c r="A62" t="inlineStr">
        <is>
          <t xml:space="preserve">    Administrative Expenses</t>
        </is>
      </c>
      <c r="B62" s="78" t="n">
        <v>-736790.79</v>
      </c>
      <c r="C62" s="79" t="n">
        <v>0.1640602493412959</v>
      </c>
    </row>
    <row r="63">
      <c r="A63" t="inlineStr">
        <is>
          <t xml:space="preserve">    Staff Welfare &amp; Events</t>
        </is>
      </c>
      <c r="B63" s="78" t="n">
        <v>-5426</v>
      </c>
      <c r="C63" s="79" t="n">
        <v>0.001208200380634333</v>
      </c>
    </row>
    <row r="64">
      <c r="A64" t="inlineStr">
        <is>
          <t xml:space="preserve">    Salaries (Admin Mgmt)</t>
        </is>
      </c>
      <c r="B64" s="78" t="n">
        <v>-680502</v>
      </c>
      <c r="C64" s="79" t="n">
        <v>0.1515264974976825</v>
      </c>
    </row>
    <row r="65">
      <c r="A65" t="inlineStr">
        <is>
          <t xml:space="preserve">    Legal &amp; CA expenses</t>
        </is>
      </c>
      <c r="B65" s="78" t="n">
        <v>-212242</v>
      </c>
      <c r="C65" s="79" t="n">
        <v>0.04725965079000963</v>
      </c>
    </row>
    <row r="66">
      <c r="A66" s="70" t="inlineStr">
        <is>
          <t>TOTAL OPERATING EXPENSES</t>
        </is>
      </c>
      <c r="B66" s="71" t="n">
        <v>-1683425.77</v>
      </c>
      <c r="C66" s="74" t="n">
        <v>0.3748462322306756</v>
      </c>
    </row>
    <row r="67">
      <c r="B67" s="62" t="n"/>
      <c r="C67" s="62" t="n"/>
    </row>
    <row r="68">
      <c r="A68" s="70" t="inlineStr">
        <is>
          <t>EBITDA</t>
        </is>
      </c>
      <c r="B68" s="71" t="n">
        <v>1254065.45</v>
      </c>
      <c r="C68" s="74" t="n">
        <v>0.2792411268025004</v>
      </c>
    </row>
    <row r="69">
      <c r="B69" s="62" t="n"/>
      <c r="C69" s="62" t="n"/>
    </row>
    <row r="70">
      <c r="A70" s="54" t="inlineStr">
        <is>
          <t>J. NON-OPERATING</t>
        </is>
      </c>
      <c r="B70" s="80" t="n"/>
      <c r="C70" s="80" t="n"/>
    </row>
    <row r="71">
      <c r="A71" t="inlineStr">
        <is>
          <t xml:space="preserve">    Less: Interest Expense</t>
        </is>
      </c>
      <c r="B71" s="78" t="n">
        <v>-77557</v>
      </c>
      <c r="C71" s="79" t="n">
        <v>0.0172695165722184</v>
      </c>
    </row>
    <row r="72">
      <c r="A72" s="70" t="inlineStr">
        <is>
          <t>TOTAL NON-OPERATING</t>
        </is>
      </c>
      <c r="B72" s="71" t="n">
        <v>-77557</v>
      </c>
      <c r="C72" s="74" t="n">
        <v>0.0172695165722184</v>
      </c>
    </row>
    <row r="73">
      <c r="B73" s="62" t="n"/>
      <c r="C73" s="62" t="n"/>
    </row>
    <row r="74">
      <c r="A74" s="70" t="inlineStr">
        <is>
          <t>NET INCOME (pre-depreciation, per MIS basis)</t>
        </is>
      </c>
      <c r="B74" s="71" t="n">
        <v>1176508.45</v>
      </c>
      <c r="C74" s="74" t="n">
        <v>0.261971610230282</v>
      </c>
    </row>
    <row r="75">
      <c r="B75" s="62" t="n"/>
      <c r="C75" s="62" t="n"/>
    </row>
    <row r="76">
      <c r="A76" t="inlineStr">
        <is>
          <t>Memo: Depreciation (excluded from MIS EBITDA basis)</t>
        </is>
      </c>
      <c r="B76" s="78" t="n">
        <v>0</v>
      </c>
      <c r="C76" s="79" t="n">
        <v>0</v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0" customWidth="1" style="2" min="1" max="1"/>
    <col width="17" customWidth="1" style="2" min="2" max="2"/>
    <col width="13" customWidth="1" style="2" min="3" max="3"/>
  </cols>
  <sheetData>
    <row r="1" ht="24" customHeight="1" s="2">
      <c r="A1" s="61" t="inlineStr">
        <is>
          <t>Jan 2026 - PROFIT &amp; LOSS STATEMENT</t>
        </is>
      </c>
    </row>
    <row r="2">
      <c r="A2" s="63" t="inlineStr">
        <is>
          <t>Heatronics Pvt Ltd</t>
        </is>
      </c>
    </row>
    <row r="3">
      <c r="A3" s="63" t="inlineStr">
        <is>
          <t>Generated: 12 Jun 2026  |  Source: Sales Registers + Balance Sheet (actuals)</t>
        </is>
      </c>
    </row>
    <row r="4">
      <c r="A4" s="64" t="n"/>
      <c r="B4" s="65" t="n"/>
      <c r="C4" s="65" t="n"/>
    </row>
    <row r="5">
      <c r="A5" s="64" t="inlineStr">
        <is>
          <t>Net Sales taken from books (Trading A/c). COGM = actual consumption (Opening+Purchases-Closing). Depreciation excluded (consistent with prior months).</t>
        </is>
      </c>
      <c r="B5" s="65" t="n"/>
      <c r="C5" s="65" t="n"/>
    </row>
    <row r="6">
      <c r="A6" s="64" t="n"/>
      <c r="B6" s="65" t="n"/>
      <c r="C6" s="65" t="n"/>
    </row>
    <row r="7">
      <c r="A7" s="43" t="inlineStr">
        <is>
          <t>Particulars</t>
        </is>
      </c>
      <c r="B7" s="66" t="inlineStr">
        <is>
          <t>Amount (₹)</t>
        </is>
      </c>
      <c r="C7" s="66" t="inlineStr">
        <is>
          <t>% of Revenue</t>
        </is>
      </c>
    </row>
    <row r="8">
      <c r="A8" s="54" t="inlineStr">
        <is>
          <t>A. GROSS REVENUE (from Sales Register, by channel)</t>
        </is>
      </c>
      <c r="B8" s="67" t="n"/>
      <c r="C8" s="67" t="n"/>
    </row>
    <row r="9">
      <c r="A9" s="64" t="inlineStr">
        <is>
          <t xml:space="preserve">    D2C</t>
        </is>
      </c>
      <c r="B9" s="68" t="n">
        <v>5145028</v>
      </c>
      <c r="C9" s="69" t="n">
        <v>0.8080742629933221</v>
      </c>
    </row>
    <row r="10">
      <c r="A10" s="64" t="inlineStr">
        <is>
          <t xml:space="preserve">    Amazon</t>
        </is>
      </c>
      <c r="B10" s="68" t="n">
        <v>514396.99</v>
      </c>
      <c r="C10" s="69" t="n">
        <v>0.0807908078595944</v>
      </c>
    </row>
    <row r="11">
      <c r="A11" s="64" t="inlineStr">
        <is>
          <t xml:space="preserve">    OEM</t>
        </is>
      </c>
      <c r="B11" s="68" t="n">
        <v>678300</v>
      </c>
      <c r="C11" s="69" t="n">
        <v>0.1065332924501811</v>
      </c>
    </row>
    <row r="12">
      <c r="A12" s="64" t="inlineStr">
        <is>
          <t xml:space="preserve">    Offline</t>
        </is>
      </c>
      <c r="B12" s="68" t="n">
        <v>627844</v>
      </c>
      <c r="C12" s="69" t="n">
        <v>0.0986087106959922</v>
      </c>
    </row>
    <row r="13">
      <c r="A13" s="64" t="inlineStr">
        <is>
          <t xml:space="preserve">    Export</t>
        </is>
      </c>
      <c r="B13" s="68" t="n">
        <v>21300</v>
      </c>
      <c r="C13" s="69" t="n">
        <v>0.003345362124707147</v>
      </c>
    </row>
    <row r="14">
      <c r="A14" s="70" t="inlineStr">
        <is>
          <t>TOTAL GROSS REVENUE</t>
        </is>
      </c>
      <c r="B14" s="71" t="n">
        <v>6986868.99</v>
      </c>
      <c r="C14" s="72" t="n"/>
    </row>
    <row r="15">
      <c r="A15" s="64" t="inlineStr"/>
      <c r="B15" s="65" t="n"/>
      <c r="C15" s="65" t="n"/>
    </row>
    <row r="16">
      <c r="A16" s="54" t="inlineStr">
        <is>
          <t>B. RETURNS</t>
        </is>
      </c>
      <c r="B16" s="67" t="n"/>
      <c r="C16" s="67" t="n"/>
    </row>
    <row r="17">
      <c r="A17" s="64" t="inlineStr">
        <is>
          <t xml:space="preserve">    Amazon Returns</t>
        </is>
      </c>
      <c r="B17" s="73" t="n">
        <v>-133839</v>
      </c>
      <c r="C17" s="69" t="n">
        <v>-0.02102065358726196</v>
      </c>
    </row>
    <row r="18">
      <c r="A18" s="64" t="inlineStr">
        <is>
          <t xml:space="preserve">    Blinkit Returns</t>
        </is>
      </c>
      <c r="B18" s="73" t="n">
        <v>-100674</v>
      </c>
      <c r="C18" s="69" t="n">
        <v>-0.01581178340576372</v>
      </c>
    </row>
    <row r="19">
      <c r="A19" s="64" t="inlineStr">
        <is>
          <t xml:space="preserve">    Offline Returns</t>
        </is>
      </c>
      <c r="B19" s="73" t="n">
        <v>-68046</v>
      </c>
      <c r="C19" s="69" t="n">
        <v>-0.01068725404402922</v>
      </c>
    </row>
    <row r="20">
      <c r="A20" s="70" t="inlineStr">
        <is>
          <t>TOTAL RETURNS</t>
        </is>
      </c>
      <c r="B20" s="71" t="n">
        <v>-302559</v>
      </c>
      <c r="C20" s="74" t="n">
        <v>-0.04751969103705491</v>
      </c>
    </row>
    <row r="21">
      <c r="A21" s="64" t="inlineStr"/>
      <c r="B21" s="65" t="n"/>
      <c r="C21" s="65" t="n"/>
    </row>
    <row r="22">
      <c r="A22" s="54" t="inlineStr">
        <is>
          <t>D. TAXES (GST Collected)</t>
        </is>
      </c>
      <c r="B22" s="67" t="n"/>
      <c r="C22" s="67" t="n"/>
    </row>
    <row r="23">
      <c r="A23" s="70" t="inlineStr">
        <is>
          <t>TOTAL TAXES</t>
        </is>
      </c>
      <c r="B23" s="71" t="n">
        <v>-317286.27</v>
      </c>
      <c r="C23" s="74" t="n">
        <v>0.04983274508674204</v>
      </c>
    </row>
    <row r="24">
      <c r="A24" s="64" t="inlineStr"/>
      <c r="B24" s="65" t="n"/>
      <c r="C24" s="65" t="n"/>
    </row>
    <row r="25">
      <c r="A25" s="75" t="inlineStr">
        <is>
          <t>NET REVENUE (external)</t>
        </is>
      </c>
      <c r="B25" s="76" t="n">
        <v>6367023.72</v>
      </c>
      <c r="C25" s="77" t="n">
        <v>1</v>
      </c>
    </row>
    <row r="26">
      <c r="A26" s="64" t="inlineStr"/>
      <c r="B26" s="65" t="n"/>
      <c r="C26" s="65" t="n"/>
    </row>
    <row r="27">
      <c r="A27" s="64" t="inlineStr">
        <is>
          <t>Add: Inter-branch (Internal) Transactions</t>
        </is>
      </c>
      <c r="B27" s="68" t="n">
        <v>78000</v>
      </c>
      <c r="C27" s="69" t="n">
        <v>0.01225062186512476</v>
      </c>
    </row>
    <row r="28">
      <c r="A28" s="70" t="inlineStr">
        <is>
          <t>TURNOVER (Total — audited basis)</t>
        </is>
      </c>
      <c r="B28" s="71" t="n">
        <v>6445023.72</v>
      </c>
      <c r="C28" s="74" t="n">
        <v>1.012250621865125</v>
      </c>
    </row>
    <row r="29">
      <c r="A29" s="64" t="inlineStr"/>
      <c r="B29" s="65" t="n"/>
      <c r="C29" s="65" t="n"/>
    </row>
    <row r="30">
      <c r="A30" s="54" t="inlineStr">
        <is>
          <t>E. COST OF GOODS MANUFACTURED (actual consumption)</t>
        </is>
      </c>
      <c r="B30" s="67" t="n"/>
      <c r="C30" s="67" t="n"/>
    </row>
    <row r="31">
      <c r="A31" s="64" t="inlineStr">
        <is>
          <t xml:space="preserve">    Raw Materials &amp; Inventory</t>
        </is>
      </c>
      <c r="B31" s="68" t="n">
        <v>-6452228.28</v>
      </c>
      <c r="C31" s="69" t="n">
        <v>1.01338216468903</v>
      </c>
    </row>
    <row r="32">
      <c r="A32" s="64" t="inlineStr">
        <is>
          <t xml:space="preserve">    Factory Maintenance</t>
        </is>
      </c>
      <c r="B32" s="68" t="n">
        <v>-32728</v>
      </c>
      <c r="C32" s="69" t="n">
        <v>0.005140235287202605</v>
      </c>
    </row>
    <row r="33">
      <c r="A33" s="64" t="inlineStr">
        <is>
          <t xml:space="preserve">    Inbound Transport</t>
        </is>
      </c>
      <c r="B33" s="68" t="n">
        <v>-7750</v>
      </c>
      <c r="C33" s="69" t="n">
        <v>0.001217209223778422</v>
      </c>
    </row>
    <row r="34">
      <c r="A34" s="64" t="inlineStr">
        <is>
          <t xml:space="preserve">    Job work</t>
        </is>
      </c>
      <c r="B34" s="68" t="n">
        <v>-53072.25</v>
      </c>
      <c r="C34" s="69" t="n">
        <v>0.008335488029248304</v>
      </c>
    </row>
    <row r="35">
      <c r="A35" s="70" t="inlineStr">
        <is>
          <t>TOTAL COGM</t>
        </is>
      </c>
      <c r="B35" s="71" t="n">
        <v>-6545778.53</v>
      </c>
      <c r="C35" s="74" t="n">
        <v>1.028075097229259</v>
      </c>
    </row>
    <row r="36">
      <c r="A36" s="64" t="inlineStr"/>
      <c r="B36" s="65" t="n"/>
      <c r="C36" s="65" t="n"/>
    </row>
    <row r="37">
      <c r="A37" s="70" t="inlineStr">
        <is>
          <t>GROSS MARGIN</t>
        </is>
      </c>
      <c r="B37" s="71" t="n">
        <v>-178754.81</v>
      </c>
      <c r="C37" s="74" t="n">
        <v>-0.0280750972292592</v>
      </c>
    </row>
    <row r="38">
      <c r="A38" s="64" t="inlineStr"/>
      <c r="B38" s="65" t="n"/>
      <c r="C38" s="65" t="n"/>
    </row>
    <row r="39">
      <c r="A39" s="54" t="inlineStr">
        <is>
          <t>F. CHANNEL &amp; FULFILLMENT</t>
        </is>
      </c>
      <c r="B39" s="67" t="n"/>
      <c r="C39" s="67" t="n"/>
    </row>
    <row r="40">
      <c r="A40" s="64" t="inlineStr">
        <is>
          <t xml:space="preserve">    D2C Fees</t>
        </is>
      </c>
      <c r="B40" s="68" t="n">
        <v>-48010.14</v>
      </c>
      <c r="C40" s="69" t="n">
        <v>0.007540436805534628</v>
      </c>
    </row>
    <row r="41">
      <c r="A41" s="70" t="inlineStr">
        <is>
          <t>TOTAL CHANNEL &amp; FULFILLMENT</t>
        </is>
      </c>
      <c r="B41" s="71" t="n">
        <v>-48010.14</v>
      </c>
      <c r="C41" s="74" t="n">
        <v>0.007540436805534628</v>
      </c>
    </row>
    <row r="42">
      <c r="A42" s="64" t="inlineStr"/>
      <c r="B42" s="65" t="n"/>
      <c r="C42" s="65" t="n"/>
    </row>
    <row r="43">
      <c r="A43" s="70" t="inlineStr">
        <is>
          <t>CM1 (Contribution Margin 1)</t>
        </is>
      </c>
      <c r="B43" s="71" t="n">
        <v>-226764.95</v>
      </c>
      <c r="C43" s="74" t="n">
        <v>-0.03561553403479383</v>
      </c>
    </row>
    <row r="44">
      <c r="A44" s="64" t="inlineStr"/>
      <c r="B44" s="65" t="n"/>
      <c r="C44" s="65" t="n"/>
    </row>
    <row r="45">
      <c r="A45" s="54" t="inlineStr">
        <is>
          <t>G. SALES &amp; MARKETING</t>
        </is>
      </c>
      <c r="B45" s="67" t="n"/>
      <c r="C45" s="67" t="n"/>
    </row>
    <row r="46">
      <c r="A46" s="64" t="inlineStr">
        <is>
          <t xml:space="preserve">    Advertising &amp; Marketing</t>
        </is>
      </c>
      <c r="B46" s="68" t="n">
        <v>-80122.72</v>
      </c>
      <c r="C46" s="69" t="n">
        <v>0.0125840146862214</v>
      </c>
    </row>
    <row r="47">
      <c r="A47" s="70" t="inlineStr">
        <is>
          <t>TOTAL SALES &amp; MARKETING</t>
        </is>
      </c>
      <c r="B47" s="71" t="n">
        <v>-80122.72</v>
      </c>
      <c r="C47" s="74" t="n">
        <v>0.0125840146862214</v>
      </c>
    </row>
    <row r="48">
      <c r="A48" s="64" t="inlineStr"/>
      <c r="B48" s="65" t="n"/>
      <c r="C48" s="65" t="n"/>
    </row>
    <row r="49">
      <c r="A49" s="70" t="inlineStr">
        <is>
          <t>CM2 (Contribution Margin 2)</t>
        </is>
      </c>
      <c r="B49" s="71" t="n">
        <v>-306887.67</v>
      </c>
      <c r="C49" s="74" t="n">
        <v>-0.04819954872101522</v>
      </c>
    </row>
    <row r="50">
      <c r="A50" s="64" t="inlineStr"/>
      <c r="B50" s="65" t="n"/>
      <c r="C50" s="65" t="n"/>
    </row>
    <row r="51">
      <c r="A51" s="54" t="inlineStr">
        <is>
          <t>H. PLATFORM COSTS</t>
        </is>
      </c>
      <c r="B51" s="67" t="n"/>
      <c r="C51" s="67" t="n"/>
    </row>
    <row r="52">
      <c r="A52" s="64" t="inlineStr">
        <is>
          <t xml:space="preserve">    Platform / Software Subscriptions</t>
        </is>
      </c>
      <c r="B52" s="68" t="n">
        <v>-1195.1</v>
      </c>
      <c r="C52" s="69" t="n">
        <v>0.0001877015152693667</v>
      </c>
    </row>
    <row r="53">
      <c r="A53" s="70" t="inlineStr">
        <is>
          <t>TOTAL PLATFORM COSTS</t>
        </is>
      </c>
      <c r="B53" s="71" t="n">
        <v>-1195.1</v>
      </c>
      <c r="C53" s="74" t="n">
        <v>0.0001877015152693667</v>
      </c>
    </row>
    <row r="54">
      <c r="A54" s="64" t="inlineStr"/>
      <c r="B54" s="65" t="n"/>
      <c r="C54" s="65" t="n"/>
    </row>
    <row r="55">
      <c r="A55" s="70" t="inlineStr">
        <is>
          <t>CM3 (Contribution Margin 3)</t>
        </is>
      </c>
      <c r="B55" s="71" t="n">
        <v>-308082.77</v>
      </c>
      <c r="C55" s="74" t="n">
        <v>-0.04838725023628459</v>
      </c>
    </row>
    <row r="56">
      <c r="A56" s="64" t="inlineStr"/>
      <c r="B56" s="65" t="n"/>
      <c r="C56" s="65" t="n"/>
    </row>
    <row r="57">
      <c r="A57" s="54" t="inlineStr">
        <is>
          <t>I. OPERATING EXPENSES</t>
        </is>
      </c>
      <c r="B57" s="67" t="n"/>
      <c r="C57" s="67" t="n"/>
    </row>
    <row r="58">
      <c r="A58" s="64" t="inlineStr">
        <is>
          <t xml:space="preserve">    Banks &amp; Finance Charges</t>
        </is>
      </c>
      <c r="B58" s="68" t="n">
        <v>-1180</v>
      </c>
      <c r="C58" s="69" t="n">
        <v>0.0001853299205236823</v>
      </c>
    </row>
    <row r="59">
      <c r="A59" s="64" t="inlineStr">
        <is>
          <t xml:space="preserve">    Other Operating Expenses</t>
        </is>
      </c>
      <c r="B59" s="68" t="n">
        <v>-38535.21</v>
      </c>
      <c r="C59" s="69" t="n">
        <v>0.006052311361579158</v>
      </c>
    </row>
    <row r="60">
      <c r="A60" s="64" t="inlineStr">
        <is>
          <t xml:space="preserve">    Administrative Expenses</t>
        </is>
      </c>
      <c r="B60" s="68" t="n">
        <v>-313364.04</v>
      </c>
      <c r="C60" s="69" t="n">
        <v>0.04921672256625424</v>
      </c>
    </row>
    <row r="61">
      <c r="A61" t="inlineStr">
        <is>
          <t xml:space="preserve">    Miscellaneous (Travel, insurance)</t>
        </is>
      </c>
      <c r="B61" s="78" t="n">
        <v>-11844.19</v>
      </c>
      <c r="C61" s="79" t="n">
        <v>0.00186023965370118</v>
      </c>
    </row>
    <row r="62">
      <c r="A62" t="inlineStr">
        <is>
          <t xml:space="preserve">    Staff Welfare &amp; Events</t>
        </is>
      </c>
      <c r="B62" s="78" t="n">
        <v>-9866</v>
      </c>
      <c r="C62" s="79" t="n">
        <v>0.001549546606683601</v>
      </c>
    </row>
    <row r="63">
      <c r="A63" t="inlineStr">
        <is>
          <t xml:space="preserve">    Salaries (Admin Mgmt)</t>
        </is>
      </c>
      <c r="B63" s="78" t="n">
        <v>-85000</v>
      </c>
      <c r="C63" s="79" t="n">
        <v>0.01335003664789237</v>
      </c>
    </row>
    <row r="64">
      <c r="A64" t="inlineStr">
        <is>
          <t xml:space="preserve">    Legal &amp; CA expenses</t>
        </is>
      </c>
      <c r="B64" s="78" t="n">
        <v>-107500</v>
      </c>
      <c r="C64" s="79" t="n">
        <v>0.01688386987821682</v>
      </c>
    </row>
    <row r="65">
      <c r="A65" s="70" t="inlineStr">
        <is>
          <t>TOTAL OPERATING EXPENSES</t>
        </is>
      </c>
      <c r="B65" s="71" t="n">
        <v>-567289.4399999999</v>
      </c>
      <c r="C65" s="74" t="n">
        <v>0.08909805663485104</v>
      </c>
    </row>
    <row r="66">
      <c r="B66" s="62" t="n"/>
      <c r="C66" s="62" t="n"/>
    </row>
    <row r="67">
      <c r="A67" s="70" t="inlineStr">
        <is>
          <t>EBITDA</t>
        </is>
      </c>
      <c r="B67" s="71" t="n">
        <v>-875372.21</v>
      </c>
      <c r="C67" s="74" t="n">
        <v>-0.1374853068711356</v>
      </c>
    </row>
    <row r="68">
      <c r="B68" s="62" t="n"/>
      <c r="C68" s="62" t="n"/>
    </row>
    <row r="69">
      <c r="A69" s="54" t="inlineStr">
        <is>
          <t>J. NON-OPERATING</t>
        </is>
      </c>
      <c r="B69" s="80" t="n"/>
      <c r="C69" s="80" t="n"/>
    </row>
    <row r="70">
      <c r="A70" t="inlineStr">
        <is>
          <t xml:space="preserve">    Less: Interest Expense</t>
        </is>
      </c>
      <c r="B70" s="78" t="n">
        <v>-41501</v>
      </c>
      <c r="C70" s="79" t="n">
        <v>0.006518116128519779</v>
      </c>
    </row>
    <row r="71">
      <c r="A71" s="70" t="inlineStr">
        <is>
          <t>TOTAL NON-OPERATING</t>
        </is>
      </c>
      <c r="B71" s="71" t="n">
        <v>-41501</v>
      </c>
      <c r="C71" s="74" t="n">
        <v>0.006518116128519779</v>
      </c>
    </row>
    <row r="72">
      <c r="B72" s="62" t="n"/>
      <c r="C72" s="62" t="n"/>
    </row>
    <row r="73">
      <c r="A73" s="70" t="inlineStr">
        <is>
          <t>NET INCOME (pre-depreciation, per MIS basis)</t>
        </is>
      </c>
      <c r="B73" s="71" t="n">
        <v>-916873.21</v>
      </c>
      <c r="C73" s="74" t="n">
        <v>-0.1440034229996554</v>
      </c>
    </row>
    <row r="74">
      <c r="B74" s="62" t="n"/>
      <c r="C74" s="62" t="n"/>
    </row>
    <row r="75">
      <c r="A75" t="inlineStr">
        <is>
          <t>Memo: Depreciation (excluded from MIS EBITDA basis)</t>
        </is>
      </c>
      <c r="B75" s="78" t="n">
        <v>0</v>
      </c>
      <c r="C75" s="79" t="n">
        <v>0</v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0" customWidth="1" style="2" min="1" max="1"/>
    <col width="17" customWidth="1" style="2" min="2" max="2"/>
    <col width="13" customWidth="1" style="2" min="3" max="3"/>
  </cols>
  <sheetData>
    <row r="1" ht="24" customHeight="1" s="2">
      <c r="A1" s="61" t="inlineStr">
        <is>
          <t>Dec 2025 - PROFIT &amp; LOSS STATEMENT</t>
        </is>
      </c>
    </row>
    <row r="2">
      <c r="A2" s="63" t="inlineStr">
        <is>
          <t>Heatronics Pvt Ltd</t>
        </is>
      </c>
    </row>
    <row r="3">
      <c r="A3" s="81" t="inlineStr">
        <is>
          <t>Generated: 24 Jan 2026</t>
        </is>
      </c>
      <c r="B3" s="51" t="n"/>
      <c r="C3" s="51" t="n"/>
    </row>
    <row r="4">
      <c r="A4" s="64" t="n"/>
      <c r="B4" s="65" t="n"/>
      <c r="C4" s="65" t="n"/>
    </row>
    <row r="5">
      <c r="A5" s="83" t="inlineStr">
        <is>
          <t>Revenue Formula: Net Revenue = Gross Revenue - Returns - Discounts - Taxes (GST)</t>
        </is>
      </c>
      <c r="B5" s="65" t="n"/>
      <c r="C5" s="65" t="n"/>
    </row>
    <row r="6">
      <c r="A6" s="64" t="n"/>
      <c r="B6" s="65" t="n"/>
      <c r="C6" s="65" t="n"/>
    </row>
    <row r="7">
      <c r="A7" s="84" t="inlineStr">
        <is>
          <t>Particulars</t>
        </is>
      </c>
      <c r="B7" s="85" t="inlineStr">
        <is>
          <t>Amount (₹)</t>
        </is>
      </c>
      <c r="C7" s="85" t="inlineStr">
        <is>
          <t>% of Revenue</t>
        </is>
      </c>
    </row>
    <row r="8">
      <c r="A8" s="86" t="inlineStr">
        <is>
          <t>A. GROSS REVENUE (from Sales Register, by channel)</t>
        </is>
      </c>
      <c r="B8" s="67" t="n"/>
      <c r="C8" s="67" t="n"/>
    </row>
    <row r="9">
      <c r="A9" s="87" t="inlineStr">
        <is>
          <t xml:space="preserve">    D2C</t>
        </is>
      </c>
      <c r="B9" s="88" t="n">
        <v>5812674</v>
      </c>
      <c r="C9" s="89" t="n">
        <v>0.6934291743976138</v>
      </c>
    </row>
    <row r="10">
      <c r="A10" s="87" t="inlineStr">
        <is>
          <t xml:space="preserve">    Amazon</t>
        </is>
      </c>
      <c r="B10" s="88" t="n">
        <v>1750438.79</v>
      </c>
      <c r="C10" s="89" t="n">
        <v>0.2088204714359102</v>
      </c>
    </row>
    <row r="11">
      <c r="A11" s="87" t="inlineStr">
        <is>
          <t xml:space="preserve">    Blinkit</t>
        </is>
      </c>
      <c r="B11" s="88" t="n">
        <v>277948</v>
      </c>
      <c r="C11" s="89" t="n">
        <v>0.03315810454284344</v>
      </c>
    </row>
    <row r="12">
      <c r="A12" s="87" t="inlineStr">
        <is>
          <t xml:space="preserve">    OEM</t>
        </is>
      </c>
      <c r="B12" s="88" t="n">
        <v>137550</v>
      </c>
      <c r="C12" s="89" t="n">
        <v>0.01640917466529032</v>
      </c>
    </row>
    <row r="13">
      <c r="A13" s="90" t="inlineStr">
        <is>
          <t xml:space="preserve">    Offline</t>
        </is>
      </c>
      <c r="B13" s="91" t="n">
        <v>1131304.55</v>
      </c>
      <c r="C13" s="92" t="n">
        <v>0.1349601887356428</v>
      </c>
    </row>
    <row r="14">
      <c r="A14" s="70" t="inlineStr">
        <is>
          <t>TOTAL GROSS REVENUE</t>
        </is>
      </c>
      <c r="B14" s="71" t="n">
        <v>9109915.34</v>
      </c>
      <c r="C14" s="72" t="n"/>
    </row>
    <row r="15">
      <c r="A15" s="93" t="inlineStr"/>
      <c r="B15" s="65" t="n"/>
      <c r="C15" s="65" t="n"/>
    </row>
    <row r="16">
      <c r="A16" s="94" t="inlineStr">
        <is>
          <t>B. RETURNS</t>
        </is>
      </c>
      <c r="B16" s="67" t="n"/>
      <c r="C16" s="95" t="n"/>
    </row>
    <row r="17">
      <c r="A17" s="87" t="inlineStr">
        <is>
          <t xml:space="preserve">    Amazon Returns</t>
        </is>
      </c>
      <c r="B17" s="73" t="n">
        <v>-254649.2</v>
      </c>
      <c r="C17" s="89" t="n">
        <v>-0.0303786492270189</v>
      </c>
    </row>
    <row r="18">
      <c r="A18" s="90" t="inlineStr">
        <is>
          <t xml:space="preserve">    OEM Returns</t>
        </is>
      </c>
      <c r="B18" s="73" t="n">
        <v>-24229</v>
      </c>
      <c r="C18" s="92" t="n">
        <v>-0.002890424521739871</v>
      </c>
    </row>
    <row r="19">
      <c r="A19" s="64" t="inlineStr">
        <is>
          <t xml:space="preserve">    Offline Returns</t>
        </is>
      </c>
      <c r="B19" s="73" t="n">
        <v>-29406</v>
      </c>
      <c r="C19" s="69" t="n">
        <v>-0.003508020285042001</v>
      </c>
    </row>
    <row r="20">
      <c r="A20" s="96" t="inlineStr">
        <is>
          <t>TOTAL RETURNS</t>
        </is>
      </c>
      <c r="B20" s="71" t="n">
        <v>-308284.2</v>
      </c>
      <c r="C20" s="74" t="n">
        <v>-0.03677709403380077</v>
      </c>
    </row>
    <row r="21">
      <c r="A21" s="90" t="inlineStr"/>
      <c r="B21" s="65" t="n"/>
      <c r="C21" s="97" t="n"/>
    </row>
    <row r="22">
      <c r="A22" s="54" t="inlineStr">
        <is>
          <t>D. TAXES (GST Collected)</t>
        </is>
      </c>
      <c r="B22" s="67" t="n"/>
      <c r="C22" s="67" t="n"/>
    </row>
    <row r="23">
      <c r="A23" s="98" t="inlineStr">
        <is>
          <t>TOTAL TAXES</t>
        </is>
      </c>
      <c r="B23" s="99" t="n">
        <v>-419125.45</v>
      </c>
      <c r="C23" s="100" t="n">
        <v>0.05000001974349987</v>
      </c>
    </row>
    <row r="24">
      <c r="A24" s="64" t="inlineStr"/>
      <c r="B24" s="65" t="n"/>
      <c r="C24" s="65" t="n"/>
    </row>
    <row r="25">
      <c r="A25" s="101" t="inlineStr">
        <is>
          <t>NET REVENUE (external)</t>
        </is>
      </c>
      <c r="B25" s="76" t="n">
        <v>8382505.69</v>
      </c>
      <c r="C25" s="77" t="n">
        <v>1</v>
      </c>
    </row>
    <row r="26">
      <c r="A26" s="102" t="inlineStr"/>
      <c r="B26" s="65" t="n"/>
      <c r="C26" s="103" t="n"/>
    </row>
    <row r="27">
      <c r="A27" s="102" t="inlineStr">
        <is>
          <t>Add: Inter-branch (Internal) Transactions</t>
        </is>
      </c>
      <c r="B27" s="68" t="n">
        <v>883800</v>
      </c>
      <c r="C27" s="104" t="n">
        <v>0.1054338681874488</v>
      </c>
    </row>
    <row r="28">
      <c r="A28" s="105" t="inlineStr">
        <is>
          <t>TURNOVER (Total — audited basis)</t>
        </is>
      </c>
      <c r="B28" s="71" t="n">
        <v>9266305.689999999</v>
      </c>
      <c r="C28" s="106" t="n">
        <v>1.105433868187449</v>
      </c>
    </row>
    <row r="29">
      <c r="A29" s="102" t="inlineStr"/>
      <c r="B29" s="65" t="n"/>
      <c r="C29" s="103" t="n"/>
    </row>
    <row r="30">
      <c r="A30" s="107" t="inlineStr">
        <is>
          <t>E. COST OF GOODS MANUFACTURED (COGM)</t>
        </is>
      </c>
      <c r="B30" s="67" t="n"/>
      <c r="C30" s="108" t="n"/>
    </row>
    <row r="31">
      <c r="A31" s="90" t="inlineStr">
        <is>
          <t xml:space="preserve">    Raw Materials &amp; Inventory</t>
        </is>
      </c>
      <c r="B31" s="68" t="n">
        <v>-3104517.76</v>
      </c>
      <c r="C31" s="92" t="n">
        <v>0.3703567733575854</v>
      </c>
    </row>
    <row r="32">
      <c r="A32" s="64" t="inlineStr">
        <is>
          <t xml:space="preserve">    Consumables</t>
        </is>
      </c>
      <c r="B32" s="68" t="n">
        <v>-6560</v>
      </c>
      <c r="C32" s="69" t="n">
        <v>0.0007825822304929446</v>
      </c>
    </row>
    <row r="33">
      <c r="A33" s="109" t="inlineStr">
        <is>
          <t xml:space="preserve">    Factory Maintenance</t>
        </is>
      </c>
      <c r="B33" s="110" t="n">
        <v>-30951</v>
      </c>
      <c r="C33" s="111" t="n">
        <v>0.003692332715851696</v>
      </c>
    </row>
    <row r="34">
      <c r="A34" s="64" t="inlineStr">
        <is>
          <t xml:space="preserve">    Inbound Transport</t>
        </is>
      </c>
      <c r="B34" s="68" t="n">
        <v>-335372.66</v>
      </c>
      <c r="C34" s="69" t="n">
        <v>0.04000864090078535</v>
      </c>
    </row>
    <row r="35">
      <c r="A35" s="93" t="inlineStr">
        <is>
          <t xml:space="preserve">    Job work</t>
        </is>
      </c>
      <c r="B35" s="68" t="n">
        <v>-182832.45</v>
      </c>
      <c r="C35" s="69" t="n">
        <v>0.02181119306821491</v>
      </c>
    </row>
    <row r="36">
      <c r="A36" s="105" t="inlineStr">
        <is>
          <t>TOTAL COGM</t>
        </is>
      </c>
      <c r="B36" s="71" t="n">
        <v>-555716.11</v>
      </c>
      <c r="C36" s="106" t="n">
        <v>0.0662947489153449</v>
      </c>
    </row>
    <row r="37">
      <c r="A37" s="102" t="n"/>
      <c r="B37" s="65" t="n"/>
      <c r="C37" s="103" t="n"/>
    </row>
    <row r="38">
      <c r="A38" s="112" t="inlineStr">
        <is>
          <t>GROSS MARGIN</t>
        </is>
      </c>
      <c r="B38" s="71" t="n">
        <v>4722271.82</v>
      </c>
      <c r="C38" s="113" t="n">
        <v>0.5633484777270698</v>
      </c>
    </row>
    <row r="39">
      <c r="A39" s="64" t="n"/>
      <c r="B39" s="65" t="n"/>
      <c r="C39" s="65" t="n"/>
    </row>
    <row r="40">
      <c r="A40" s="114" t="inlineStr">
        <is>
          <t>F. CHANNEL &amp; FULFILLMENT</t>
        </is>
      </c>
      <c r="B40" s="115" t="n"/>
      <c r="C40" s="115" t="n"/>
    </row>
    <row r="41">
      <c r="A41" s="64" t="inlineStr">
        <is>
          <t xml:space="preserve">    Amazon Fees</t>
        </is>
      </c>
      <c r="B41" s="68" t="n">
        <v>-389123.76</v>
      </c>
      <c r="C41" s="69" t="n">
        <v>0.0464209359814941</v>
      </c>
    </row>
    <row r="42">
      <c r="A42" s="93" t="inlineStr">
        <is>
          <t xml:space="preserve">    D2C Fees</t>
        </is>
      </c>
      <c r="B42" s="68" t="n">
        <v>-127402.94</v>
      </c>
      <c r="C42" s="69" t="n">
        <v>0.01519867026776811</v>
      </c>
    </row>
    <row r="43">
      <c r="A43" s="105" t="inlineStr">
        <is>
          <t>TOTAL CHANNEL &amp; FULFILLMENT</t>
        </is>
      </c>
      <c r="B43" s="71" t="n">
        <v>-516526.7</v>
      </c>
      <c r="C43" s="106" t="n">
        <v>0.0616196062492622</v>
      </c>
    </row>
    <row r="44">
      <c r="A44" s="90" t="n"/>
      <c r="B44" s="65" t="n"/>
      <c r="C44" s="97" t="n"/>
    </row>
    <row r="45">
      <c r="A45" s="70" t="inlineStr">
        <is>
          <t>CM1 (Contribution Margin 1)</t>
        </is>
      </c>
      <c r="B45" s="71" t="n">
        <v>4205745.12</v>
      </c>
      <c r="C45" s="74" t="n">
        <v>0.5017288714778074</v>
      </c>
    </row>
    <row r="46">
      <c r="A46" s="116" t="n"/>
      <c r="B46" s="117" t="n"/>
      <c r="C46" s="117" t="n"/>
    </row>
    <row r="47">
      <c r="A47" s="54" t="inlineStr">
        <is>
          <t>G. SALES &amp; MARKETING</t>
        </is>
      </c>
      <c r="B47" s="67" t="n"/>
      <c r="C47" s="67" t="n"/>
    </row>
    <row r="48">
      <c r="A48" s="93" t="inlineStr">
        <is>
          <t xml:space="preserve">    Advertising &amp; Marketing</t>
        </is>
      </c>
      <c r="B48" s="68" t="n">
        <v>-2067204.97</v>
      </c>
      <c r="C48" s="69" t="n">
        <v>0.2466094323641312</v>
      </c>
    </row>
    <row r="49">
      <c r="A49" s="105" t="inlineStr">
        <is>
          <t>TOTAL SALES &amp; MARKETING</t>
        </is>
      </c>
      <c r="B49" s="71" t="n">
        <v>-2067204.97</v>
      </c>
      <c r="C49" s="106" t="n">
        <v>0.2466094323641312</v>
      </c>
    </row>
    <row r="50">
      <c r="A50" s="102" t="n"/>
      <c r="B50" s="65" t="n"/>
      <c r="C50" s="103" t="n"/>
    </row>
    <row r="51">
      <c r="A51" s="112" t="inlineStr">
        <is>
          <t>CM2 (Contribution Margin 2)</t>
        </is>
      </c>
      <c r="B51" s="71" t="n">
        <v>2138540.15</v>
      </c>
      <c r="C51" s="113" t="n">
        <v>0.2551194391136762</v>
      </c>
    </row>
    <row r="52">
      <c r="A52" s="64" t="n"/>
      <c r="B52" s="65" t="n"/>
      <c r="C52" s="65" t="n"/>
    </row>
    <row r="53">
      <c r="A53" s="118" t="inlineStr">
        <is>
          <t>H. PLATFORM COSTS</t>
        </is>
      </c>
      <c r="B53" s="119" t="n"/>
      <c r="C53" s="119" t="n"/>
    </row>
    <row r="54">
      <c r="A54" s="64" t="inlineStr">
        <is>
          <t xml:space="preserve">    Shopify Subscription</t>
        </is>
      </c>
      <c r="B54" s="68" t="n">
        <v>-88370</v>
      </c>
      <c r="C54" s="69" t="n">
        <v>0.01054219385802767</v>
      </c>
    </row>
    <row r="55">
      <c r="A55" s="93" t="inlineStr">
        <is>
          <t xml:space="preserve">    Wati Subscription</t>
        </is>
      </c>
      <c r="B55" s="68" t="n">
        <v>-10000</v>
      </c>
      <c r="C55" s="69" t="n">
        <v>0.001192960717214855</v>
      </c>
    </row>
    <row r="56">
      <c r="A56" s="105" t="inlineStr">
        <is>
          <t>TOTAL PLATFORM COSTS</t>
        </is>
      </c>
      <c r="B56" s="71" t="n">
        <v>-98370</v>
      </c>
      <c r="C56" s="106" t="n">
        <v>0.01173515457524252</v>
      </c>
    </row>
    <row r="57">
      <c r="A57" s="102" t="n"/>
      <c r="B57" s="65" t="n"/>
      <c r="C57" s="103" t="n"/>
    </row>
    <row r="58">
      <c r="A58" s="105" t="inlineStr">
        <is>
          <t>CM3 (Contribution Margin 3)</t>
        </is>
      </c>
      <c r="B58" s="71" t="n">
        <v>2040170.15</v>
      </c>
      <c r="C58" s="106" t="n">
        <v>0.2433842845384337</v>
      </c>
    </row>
    <row r="59">
      <c r="A59" s="102" t="n"/>
      <c r="B59" s="65" t="n"/>
      <c r="C59" s="103" t="n"/>
    </row>
    <row r="60">
      <c r="A60" s="107" t="inlineStr">
        <is>
          <t>I. OPERATING EXPENSES</t>
        </is>
      </c>
      <c r="B60" s="67" t="n"/>
      <c r="C60" s="108" t="n"/>
    </row>
    <row r="61">
      <c r="A61" s="102" t="inlineStr">
        <is>
          <t xml:space="preserve">    Banks &amp; Finance Charges</t>
        </is>
      </c>
      <c r="B61" s="68" t="n">
        <v>-30048.93</v>
      </c>
      <c r="C61" s="104" t="n">
        <v>0.003584719308433896</v>
      </c>
    </row>
    <row r="62">
      <c r="A62" s="102" t="inlineStr">
        <is>
          <t xml:space="preserve">    Other Operating Expenses</t>
        </is>
      </c>
      <c r="B62" s="68" t="n">
        <v>-36350.61</v>
      </c>
      <c r="C62" s="104" t="n">
        <v>0.004336484977679747</v>
      </c>
    </row>
    <row r="63">
      <c r="A63" s="90" t="inlineStr">
        <is>
          <t xml:space="preserve">    Administrative Expenses</t>
        </is>
      </c>
      <c r="B63" s="68" t="n">
        <v>-325216.69</v>
      </c>
      <c r="C63" s="92" t="n">
        <v>0.0387970735752641</v>
      </c>
    </row>
    <row r="64">
      <c r="A64" s="64" t="inlineStr">
        <is>
          <t xml:space="preserve">    Miscellaneous (Travel, insurance)</t>
        </is>
      </c>
      <c r="B64" s="68" t="n">
        <v>-5171.18</v>
      </c>
      <c r="C64" s="69" t="n">
        <v>0.0006169014601647112</v>
      </c>
    </row>
    <row r="65">
      <c r="A65" s="120" t="inlineStr">
        <is>
          <t xml:space="preserve">    Staff Welfare &amp; Events</t>
        </is>
      </c>
      <c r="B65" s="121" t="n">
        <v>-12606</v>
      </c>
      <c r="C65" s="122" t="n">
        <v>0.001503846280121046</v>
      </c>
    </row>
    <row r="66">
      <c r="A66" s="64" t="inlineStr">
        <is>
          <t xml:space="preserve">    Salaries (Admin Mgmt)</t>
        </is>
      </c>
      <c r="B66" s="68" t="n">
        <v>-777720</v>
      </c>
      <c r="C66" s="69" t="n">
        <v>0.09277894089923366</v>
      </c>
    </row>
    <row r="67">
      <c r="A67" s="93" t="inlineStr">
        <is>
          <t xml:space="preserve">    Legal &amp; CA expenses</t>
        </is>
      </c>
      <c r="B67" s="68" t="n">
        <v>-73300</v>
      </c>
      <c r="C67" s="69" t="n">
        <v>0.008744402057184884</v>
      </c>
    </row>
    <row r="68">
      <c r="A68" s="105" t="inlineStr">
        <is>
          <t>TOTAL OPERATING EXPENSES</t>
        </is>
      </c>
      <c r="B68" s="71" t="n">
        <v>-1260413.41</v>
      </c>
      <c r="C68" s="106" t="n">
        <v>0.150362368558082</v>
      </c>
    </row>
    <row r="69">
      <c r="A69" s="90" t="n"/>
      <c r="B69" s="65" t="n"/>
      <c r="C69" s="97" t="n"/>
    </row>
    <row r="70">
      <c r="A70" s="70" t="inlineStr">
        <is>
          <t>EBITDA</t>
        </is>
      </c>
      <c r="B70" s="71" t="n">
        <v>779756.74</v>
      </c>
      <c r="C70" s="74" t="n">
        <v>0.09302191598035169</v>
      </c>
    </row>
    <row r="71">
      <c r="A71" s="64" t="n"/>
      <c r="B71" s="65" t="n"/>
      <c r="C71" s="65" t="n"/>
    </row>
    <row r="72">
      <c r="A72" s="123" t="inlineStr">
        <is>
          <t>J. NON-OPERATING (I+D+A+Tax)</t>
        </is>
      </c>
      <c r="B72" s="124" t="n"/>
      <c r="C72" s="124" t="n"/>
    </row>
    <row r="73">
      <c r="A73" t="inlineStr">
        <is>
          <t xml:space="preserve">    Less: Interest Expense</t>
        </is>
      </c>
      <c r="B73" s="78" t="n">
        <v>-31360</v>
      </c>
      <c r="C73" s="79" t="n">
        <v>0.003741124809185784</v>
      </c>
    </row>
    <row r="74">
      <c r="A74" s="70" t="inlineStr">
        <is>
          <t>TOTAL NON-OPERATING</t>
        </is>
      </c>
      <c r="B74" s="71" t="n">
        <v>-31360</v>
      </c>
      <c r="C74" s="74" t="n">
        <v>0.003741124809185784</v>
      </c>
    </row>
    <row r="75">
      <c r="B75" s="62" t="n"/>
      <c r="C75" s="62" t="n"/>
    </row>
    <row r="76">
      <c r="B76" s="62" t="n"/>
      <c r="C76" s="62" t="n"/>
    </row>
    <row r="77">
      <c r="A77" s="70" t="inlineStr">
        <is>
          <t>NET INCOME</t>
        </is>
      </c>
      <c r="B77" s="71" t="n">
        <v>748396.74</v>
      </c>
      <c r="C77" s="74" t="n">
        <v>0.0892807911711659</v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0" customWidth="1" style="2" min="1" max="1"/>
    <col width="17" customWidth="1" style="2" min="2" max="2"/>
    <col width="13" customWidth="1" style="2" min="3" max="3"/>
  </cols>
  <sheetData>
    <row r="1" ht="24" customHeight="1" s="2">
      <c r="A1" s="61" t="inlineStr">
        <is>
          <t>Nov 2025 - PROFIT &amp; LOSS STATEMENT</t>
        </is>
      </c>
    </row>
    <row r="2">
      <c r="A2" s="63" t="inlineStr">
        <is>
          <t>Heatronics Pvt Ltd</t>
        </is>
      </c>
    </row>
    <row r="3">
      <c r="A3" s="81" t="inlineStr">
        <is>
          <t>Generated: 24 Jan 2026</t>
        </is>
      </c>
      <c r="B3" s="51" t="n"/>
      <c r="C3" s="51" t="n"/>
    </row>
    <row r="4">
      <c r="A4" s="64" t="n"/>
      <c r="B4" s="65" t="n"/>
      <c r="C4" s="65" t="n"/>
    </row>
    <row r="5">
      <c r="A5" s="83" t="inlineStr">
        <is>
          <t>Revenue Formula: Net Revenue = Gross Revenue - Returns - Discounts - Taxes (GST)</t>
        </is>
      </c>
      <c r="B5" s="65" t="n"/>
      <c r="C5" s="65" t="n"/>
    </row>
    <row r="6">
      <c r="A6" s="64" t="n"/>
      <c r="B6" s="65" t="n"/>
      <c r="C6" s="65" t="n"/>
    </row>
    <row r="7">
      <c r="A7" s="84" t="inlineStr">
        <is>
          <t>Particulars</t>
        </is>
      </c>
      <c r="B7" s="85" t="inlineStr">
        <is>
          <t>Amount (₹)</t>
        </is>
      </c>
      <c r="C7" s="85" t="inlineStr">
        <is>
          <t>% of Revenue</t>
        </is>
      </c>
    </row>
    <row r="8">
      <c r="A8" s="86" t="inlineStr">
        <is>
          <t>A. GROSS REVENUE (from Sales Register, by channel)</t>
        </is>
      </c>
      <c r="B8" s="67" t="n"/>
      <c r="C8" s="67" t="n"/>
    </row>
    <row r="9">
      <c r="A9" s="87" t="inlineStr">
        <is>
          <t xml:space="preserve">    D2C</t>
        </is>
      </c>
      <c r="B9" s="88" t="n">
        <v>4735385</v>
      </c>
      <c r="C9" s="89" t="n">
        <v>0.6277177246865374</v>
      </c>
    </row>
    <row r="10">
      <c r="A10" s="87" t="inlineStr">
        <is>
          <t xml:space="preserve">    Amazon</t>
        </is>
      </c>
      <c r="B10" s="88" t="n">
        <v>2579894.56</v>
      </c>
      <c r="C10" s="89" t="n">
        <v>0.3419881473490277</v>
      </c>
    </row>
    <row r="11">
      <c r="A11" s="87" t="inlineStr">
        <is>
          <t xml:space="preserve">    OEM</t>
        </is>
      </c>
      <c r="B11" s="88" t="n">
        <v>388500</v>
      </c>
      <c r="C11" s="89" t="n">
        <v>0.05149915709931079</v>
      </c>
    </row>
    <row r="12">
      <c r="A12" s="90" t="inlineStr">
        <is>
          <t xml:space="preserve">    Offline</t>
        </is>
      </c>
      <c r="B12" s="91" t="n">
        <v>646220.54</v>
      </c>
      <c r="C12" s="92" t="n">
        <v>0.08566232460813758</v>
      </c>
    </row>
    <row r="13">
      <c r="A13" s="70" t="inlineStr">
        <is>
          <t>TOTAL GROSS REVENUE</t>
        </is>
      </c>
      <c r="B13" s="71" t="n">
        <v>8350000.1</v>
      </c>
      <c r="C13" s="72" t="n"/>
    </row>
    <row r="14">
      <c r="A14" s="93" t="inlineStr"/>
      <c r="B14" s="65" t="n"/>
      <c r="C14" s="65" t="n"/>
    </row>
    <row r="15">
      <c r="A15" s="94" t="inlineStr">
        <is>
          <t>B. RETURNS</t>
        </is>
      </c>
      <c r="B15" s="67" t="n"/>
      <c r="C15" s="95" t="n"/>
    </row>
    <row r="16">
      <c r="A16" s="87" t="inlineStr">
        <is>
          <t xml:space="preserve">    Amazon Returns</t>
        </is>
      </c>
      <c r="B16" s="73" t="n">
        <v>-324760.55</v>
      </c>
      <c r="C16" s="89" t="n">
        <v>-0.04304992170941718</v>
      </c>
    </row>
    <row r="17">
      <c r="A17" s="90" t="inlineStr">
        <is>
          <t xml:space="preserve">    OEM Returns</t>
        </is>
      </c>
      <c r="B17" s="73" t="n">
        <v>-34257</v>
      </c>
      <c r="C17" s="92" t="n">
        <v>-0.004541072393181697</v>
      </c>
    </row>
    <row r="18">
      <c r="A18" s="64" t="inlineStr">
        <is>
          <t xml:space="preserve">    Offline Returns</t>
        </is>
      </c>
      <c r="B18" s="73" t="n">
        <v>-69979</v>
      </c>
      <c r="C18" s="69" t="n">
        <v>-0.009276343667059638</v>
      </c>
    </row>
    <row r="19">
      <c r="A19" s="96" t="inlineStr">
        <is>
          <t>TOTAL RETURNS</t>
        </is>
      </c>
      <c r="B19" s="71" t="n">
        <v>-428996.55</v>
      </c>
      <c r="C19" s="74" t="n">
        <v>-0.05686733776965851</v>
      </c>
    </row>
    <row r="20">
      <c r="A20" s="90" t="inlineStr"/>
      <c r="B20" s="65" t="n"/>
      <c r="C20" s="97" t="n"/>
    </row>
    <row r="21">
      <c r="A21" s="54" t="inlineStr">
        <is>
          <t>D. TAXES (GST Collected)</t>
        </is>
      </c>
      <c r="B21" s="67" t="n"/>
      <c r="C21" s="67" t="n"/>
    </row>
    <row r="22">
      <c r="A22" s="98" t="inlineStr">
        <is>
          <t>TOTAL TAXES</t>
        </is>
      </c>
      <c r="B22" s="99" t="n">
        <v>-377190.76</v>
      </c>
      <c r="C22" s="100" t="n">
        <v>0.05000001597335504</v>
      </c>
    </row>
    <row r="23">
      <c r="A23" s="64" t="inlineStr"/>
      <c r="B23" s="65" t="n"/>
      <c r="C23" s="65" t="n"/>
    </row>
    <row r="24">
      <c r="A24" s="101" t="inlineStr">
        <is>
          <t>NET REVENUE (external)</t>
        </is>
      </c>
      <c r="B24" s="76" t="n">
        <v>7543812.79</v>
      </c>
      <c r="C24" s="77" t="n">
        <v>1</v>
      </c>
    </row>
    <row r="25">
      <c r="A25" s="102" t="inlineStr"/>
      <c r="B25" s="65" t="n"/>
      <c r="C25" s="103" t="n"/>
    </row>
    <row r="26">
      <c r="A26" s="102" t="inlineStr">
        <is>
          <t>Add: Inter-branch (Internal) Transactions</t>
        </is>
      </c>
      <c r="B26" s="68" t="n">
        <v>239998</v>
      </c>
      <c r="C26" s="104" t="n">
        <v>0.03181388598589547</v>
      </c>
    </row>
    <row r="27">
      <c r="A27" s="105" t="inlineStr">
        <is>
          <t>TURNOVER (Total — audited basis)</t>
        </is>
      </c>
      <c r="B27" s="71" t="n">
        <v>7783810.79</v>
      </c>
      <c r="C27" s="106" t="n">
        <v>1.031813885985895</v>
      </c>
    </row>
    <row r="28">
      <c r="A28" s="102" t="inlineStr"/>
      <c r="B28" s="65" t="n"/>
      <c r="C28" s="103" t="n"/>
    </row>
    <row r="29">
      <c r="A29" s="125" t="inlineStr">
        <is>
          <t>E. COST OF GOODS MANUFACTURED (COGM)</t>
        </is>
      </c>
      <c r="B29" s="67" t="n"/>
      <c r="C29" s="126" t="n"/>
    </row>
    <row r="30">
      <c r="A30" s="64" t="inlineStr">
        <is>
          <t xml:space="preserve">    Raw Materials &amp; Inventory</t>
        </is>
      </c>
      <c r="B30" s="68" t="n">
        <v>-2793902.17</v>
      </c>
      <c r="C30" s="69" t="n">
        <v>0.3703567741903097</v>
      </c>
    </row>
    <row r="31">
      <c r="A31" s="109" t="inlineStr">
        <is>
          <t xml:space="preserve">    Factory Maintenance</t>
        </is>
      </c>
      <c r="B31" s="110" t="n">
        <v>-32959</v>
      </c>
      <c r="C31" s="111" t="n">
        <v>0.004369010859295197</v>
      </c>
    </row>
    <row r="32">
      <c r="A32" s="64" t="inlineStr">
        <is>
          <t xml:space="preserve">    Inbound Transport</t>
        </is>
      </c>
      <c r="B32" s="68" t="n">
        <v>-181164.99</v>
      </c>
      <c r="C32" s="69" t="n">
        <v>0.02401504319409284</v>
      </c>
    </row>
    <row r="33">
      <c r="A33" s="93" t="inlineStr">
        <is>
          <t xml:space="preserve">    Job work</t>
        </is>
      </c>
      <c r="B33" s="68" t="n">
        <v>-122059.5</v>
      </c>
      <c r="C33" s="69" t="n">
        <v>0.01618008073607033</v>
      </c>
    </row>
    <row r="34">
      <c r="A34" s="105" t="inlineStr">
        <is>
          <t>TOTAL COGM</t>
        </is>
      </c>
      <c r="B34" s="71" t="n">
        <v>-336183.49</v>
      </c>
      <c r="C34" s="106" t="n">
        <v>0.04456413478945837</v>
      </c>
    </row>
    <row r="35">
      <c r="A35" s="102" t="n"/>
      <c r="B35" s="65" t="n"/>
      <c r="C35" s="103" t="n"/>
    </row>
    <row r="36">
      <c r="A36" s="112" t="inlineStr">
        <is>
          <t>GROSS MARGIN</t>
        </is>
      </c>
      <c r="B36" s="71" t="n">
        <v>4413727.13</v>
      </c>
      <c r="C36" s="113" t="n">
        <v>0.5850790910202319</v>
      </c>
    </row>
    <row r="37">
      <c r="A37" s="64" t="n"/>
      <c r="B37" s="65" t="n"/>
      <c r="C37" s="65" t="n"/>
    </row>
    <row r="38">
      <c r="A38" s="114" t="inlineStr">
        <is>
          <t>F. CHANNEL &amp; FULFILLMENT</t>
        </is>
      </c>
      <c r="B38" s="115" t="n"/>
      <c r="C38" s="115" t="n"/>
    </row>
    <row r="39">
      <c r="A39" s="64" t="inlineStr">
        <is>
          <t xml:space="preserve">    Amazon Fees</t>
        </is>
      </c>
      <c r="B39" s="68" t="n">
        <v>-580310.11</v>
      </c>
      <c r="C39" s="69" t="n">
        <v>0.07692530636089658</v>
      </c>
    </row>
    <row r="40">
      <c r="A40" s="93" t="inlineStr">
        <is>
          <t xml:space="preserve">    D2C Fees</t>
        </is>
      </c>
      <c r="B40" s="68" t="n">
        <v>-89099.27</v>
      </c>
      <c r="C40" s="69" t="n">
        <v>0.01181090682925073</v>
      </c>
    </row>
    <row r="41">
      <c r="A41" s="105" t="inlineStr">
        <is>
          <t>TOTAL CHANNEL &amp; FULFILLMENT</t>
        </is>
      </c>
      <c r="B41" s="71" t="n">
        <v>-669409.38</v>
      </c>
      <c r="C41" s="106" t="n">
        <v>0.08873621319014731</v>
      </c>
    </row>
    <row r="42">
      <c r="A42" s="90" t="n"/>
      <c r="B42" s="65" t="n"/>
      <c r="C42" s="97" t="n"/>
    </row>
    <row r="43">
      <c r="A43" s="70" t="inlineStr">
        <is>
          <t>CM1 (Contribution Margin 1)</t>
        </is>
      </c>
      <c r="B43" s="71" t="n">
        <v>3744317.75</v>
      </c>
      <c r="C43" s="74" t="n">
        <v>0.4963428778300846</v>
      </c>
    </row>
    <row r="44">
      <c r="A44" s="116" t="n"/>
      <c r="B44" s="117" t="n"/>
      <c r="C44" s="117" t="n"/>
    </row>
    <row r="45">
      <c r="A45" s="54" t="inlineStr">
        <is>
          <t>G. SALES &amp; MARKETING</t>
        </is>
      </c>
      <c r="B45" s="67" t="n"/>
      <c r="C45" s="67" t="n"/>
    </row>
    <row r="46">
      <c r="A46" s="93" t="inlineStr">
        <is>
          <t xml:space="preserve">    Advertising &amp; Marketing</t>
        </is>
      </c>
      <c r="B46" s="68" t="n">
        <v>-1890185.84</v>
      </c>
      <c r="C46" s="69" t="n">
        <v>0.2505610747002644</v>
      </c>
    </row>
    <row r="47">
      <c r="A47" s="105" t="inlineStr">
        <is>
          <t>TOTAL SALES &amp; MARKETING</t>
        </is>
      </c>
      <c r="B47" s="71" t="n">
        <v>-1890185.84</v>
      </c>
      <c r="C47" s="106" t="n">
        <v>0.2505610747002644</v>
      </c>
    </row>
    <row r="48">
      <c r="A48" s="102" t="n"/>
      <c r="B48" s="65" t="n"/>
      <c r="C48" s="103" t="n"/>
    </row>
    <row r="49">
      <c r="A49" s="112" t="inlineStr">
        <is>
          <t>CM2 (Contribution Margin 2)</t>
        </is>
      </c>
      <c r="B49" s="71" t="n">
        <v>1854131.91</v>
      </c>
      <c r="C49" s="113" t="n">
        <v>0.2457818031298202</v>
      </c>
    </row>
    <row r="50">
      <c r="A50" s="64" t="n"/>
      <c r="B50" s="65" t="n"/>
      <c r="C50" s="65" t="n"/>
    </row>
    <row r="51">
      <c r="A51" s="118" t="inlineStr">
        <is>
          <t>H. PLATFORM COSTS</t>
        </is>
      </c>
      <c r="B51" s="119" t="n"/>
      <c r="C51" s="119" t="n"/>
    </row>
    <row r="52">
      <c r="A52" s="64" t="inlineStr">
        <is>
          <t xml:space="preserve">    Shopify Subscription</t>
        </is>
      </c>
      <c r="B52" s="68" t="n">
        <v>-13323.42</v>
      </c>
      <c r="C52" s="69" t="n">
        <v>0.001766138737915313</v>
      </c>
    </row>
    <row r="53">
      <c r="A53" s="93" t="inlineStr">
        <is>
          <t xml:space="preserve">    Wati Subscription</t>
        </is>
      </c>
      <c r="B53" s="68" t="n">
        <v>-132000</v>
      </c>
      <c r="C53" s="69" t="n">
        <v>0.01749778310710173</v>
      </c>
    </row>
    <row r="54">
      <c r="A54" s="105" t="inlineStr">
        <is>
          <t>TOTAL PLATFORM COSTS</t>
        </is>
      </c>
      <c r="B54" s="71" t="n">
        <v>-145323.42</v>
      </c>
      <c r="C54" s="106" t="n">
        <v>0.01926392184501705</v>
      </c>
    </row>
    <row r="55">
      <c r="A55" s="102" t="n"/>
      <c r="B55" s="65" t="n"/>
      <c r="C55" s="103" t="n"/>
    </row>
    <row r="56">
      <c r="A56" s="105" t="inlineStr">
        <is>
          <t>CM3 (Contribution Margin 3)</t>
        </is>
      </c>
      <c r="B56" s="71" t="n">
        <v>1708808.49</v>
      </c>
      <c r="C56" s="106" t="n">
        <v>0.2265178812848032</v>
      </c>
    </row>
    <row r="57">
      <c r="A57" s="102" t="n"/>
      <c r="B57" s="65" t="n"/>
      <c r="C57" s="103" t="n"/>
    </row>
    <row r="58">
      <c r="A58" s="107" t="inlineStr">
        <is>
          <t>I. OPERATING EXPENSES</t>
        </is>
      </c>
      <c r="B58" s="67" t="n"/>
      <c r="C58" s="108" t="n"/>
    </row>
    <row r="59">
      <c r="A59" s="102" t="inlineStr">
        <is>
          <t xml:space="preserve">    Other Operating Expenses</t>
        </is>
      </c>
      <c r="B59" s="68" t="n">
        <v>-71221.17</v>
      </c>
      <c r="C59" s="104" t="n">
        <v>0.009441004434045611</v>
      </c>
    </row>
    <row r="60">
      <c r="A60" s="90" t="inlineStr">
        <is>
          <t xml:space="preserve">    Administrative Expenses</t>
        </is>
      </c>
      <c r="B60" s="68" t="n">
        <v>-198179.49</v>
      </c>
      <c r="C60" s="92" t="n">
        <v>0.02627046766890937</v>
      </c>
    </row>
    <row r="61">
      <c r="A61" s="64" t="inlineStr">
        <is>
          <t xml:space="preserve">    Staff Welfare &amp; Events</t>
        </is>
      </c>
      <c r="B61" s="68" t="n">
        <v>-35521</v>
      </c>
      <c r="C61" s="69" t="n">
        <v>0.00470862692232849</v>
      </c>
    </row>
    <row r="62">
      <c r="A62" s="120" t="inlineStr">
        <is>
          <t xml:space="preserve">    Salaries (Admin Mgmt)</t>
        </is>
      </c>
      <c r="B62" s="121" t="n">
        <v>-681318</v>
      </c>
      <c r="C62" s="122" t="n">
        <v>0.0903148075073056</v>
      </c>
    </row>
    <row r="63">
      <c r="A63" s="64" t="inlineStr">
        <is>
          <t xml:space="preserve">    Legal &amp; CA expenses</t>
        </is>
      </c>
      <c r="B63" s="68" t="n">
        <v>-93900</v>
      </c>
      <c r="C63" s="69" t="n">
        <v>0.0124472866193701</v>
      </c>
    </row>
    <row r="64">
      <c r="A64" s="93" t="inlineStr">
        <is>
          <t xml:space="preserve">    Miscellaneous (Travel, insurance)</t>
        </is>
      </c>
      <c r="B64" s="68" t="n">
        <v>-12535</v>
      </c>
      <c r="C64" s="69" t="n">
        <v>0.001661626600360002</v>
      </c>
    </row>
    <row r="65">
      <c r="A65" s="105" t="inlineStr">
        <is>
          <t>TOTAL OPERATING EXPENSES</t>
        </is>
      </c>
      <c r="B65" s="71" t="n">
        <v>-1092674.66</v>
      </c>
      <c r="C65" s="106" t="n">
        <v>0.1448438197523192</v>
      </c>
    </row>
    <row r="66">
      <c r="A66" s="90" t="n"/>
      <c r="B66" s="65" t="n"/>
      <c r="C66" s="97" t="n"/>
    </row>
    <row r="67">
      <c r="A67" s="70" t="inlineStr">
        <is>
          <t>EBITDA</t>
        </is>
      </c>
      <c r="B67" s="71" t="n">
        <v>616133.83</v>
      </c>
      <c r="C67" s="74" t="n">
        <v>0.08167406153248402</v>
      </c>
    </row>
    <row r="68">
      <c r="A68" s="64" t="n"/>
      <c r="B68" s="65" t="n"/>
      <c r="C68" s="65" t="n"/>
    </row>
    <row r="69">
      <c r="A69" s="123" t="inlineStr">
        <is>
          <t>J. NON-OPERATING (I+D+A+Tax)</t>
        </is>
      </c>
      <c r="B69" s="124" t="n"/>
      <c r="C69" s="124" t="n"/>
    </row>
    <row r="70">
      <c r="A70" t="inlineStr">
        <is>
          <t xml:space="preserve">    Less: Interest Expense</t>
        </is>
      </c>
      <c r="B70" s="78" t="n">
        <v>-48705</v>
      </c>
      <c r="C70" s="79" t="n">
        <v>0.006456284289631742</v>
      </c>
    </row>
    <row r="71">
      <c r="A71" s="70" t="inlineStr">
        <is>
          <t>TOTAL NON-OPERATING</t>
        </is>
      </c>
      <c r="B71" s="71" t="n">
        <v>-48705</v>
      </c>
      <c r="C71" s="74" t="n">
        <v>0.006456284289631742</v>
      </c>
    </row>
    <row r="72">
      <c r="B72" s="62" t="n"/>
      <c r="C72" s="62" t="n"/>
    </row>
    <row r="73">
      <c r="B73" s="62" t="n"/>
      <c r="C73" s="62" t="n"/>
    </row>
    <row r="74">
      <c r="A74" s="70" t="inlineStr">
        <is>
          <t>NET INCOME</t>
        </is>
      </c>
      <c r="B74" s="71" t="n">
        <v>567428.83</v>
      </c>
      <c r="C74" s="74" t="n">
        <v>0.07521777724285228</v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0" customWidth="1" style="2" min="1" max="1"/>
    <col width="17" customWidth="1" style="2" min="2" max="2"/>
    <col width="13" customWidth="1" style="2" min="3" max="3"/>
  </cols>
  <sheetData>
    <row r="1" ht="24" customHeight="1" s="2">
      <c r="A1" s="61" t="inlineStr">
        <is>
          <t>Oct 2025 - PROFIT &amp; LOSS STATEMENT</t>
        </is>
      </c>
    </row>
    <row r="2">
      <c r="A2" s="63" t="inlineStr">
        <is>
          <t>Heatronics Pvt Ltd</t>
        </is>
      </c>
    </row>
    <row r="3">
      <c r="A3" s="81" t="inlineStr">
        <is>
          <t>Generated: 24 Jan 2026</t>
        </is>
      </c>
      <c r="B3" s="51" t="n"/>
      <c r="C3" s="51" t="n"/>
    </row>
    <row r="4">
      <c r="A4" s="64" t="n"/>
      <c r="B4" s="65" t="n"/>
      <c r="C4" s="65" t="n"/>
    </row>
    <row r="5">
      <c r="A5" s="83" t="inlineStr">
        <is>
          <t>Revenue Formula: Net Revenue = Gross Revenue - Returns - Discounts - Taxes (GST)</t>
        </is>
      </c>
      <c r="B5" s="65" t="n"/>
      <c r="C5" s="65" t="n"/>
    </row>
    <row r="6">
      <c r="A6" s="64" t="n"/>
      <c r="B6" s="65" t="n"/>
      <c r="C6" s="65" t="n"/>
    </row>
    <row r="7">
      <c r="A7" s="84" t="inlineStr">
        <is>
          <t>Particulars</t>
        </is>
      </c>
      <c r="B7" s="85" t="inlineStr">
        <is>
          <t>Amount (₹)</t>
        </is>
      </c>
      <c r="C7" s="85" t="inlineStr">
        <is>
          <t>% of Revenue</t>
        </is>
      </c>
    </row>
    <row r="8">
      <c r="A8" s="86" t="inlineStr">
        <is>
          <t>A. GROSS REVENUE (from Sales Register, by channel)</t>
        </is>
      </c>
      <c r="B8" s="67" t="n"/>
      <c r="C8" s="67" t="n"/>
    </row>
    <row r="9">
      <c r="A9" s="87" t="inlineStr">
        <is>
          <t xml:space="preserve">    D2C</t>
        </is>
      </c>
      <c r="B9" s="88" t="n">
        <v>2191261</v>
      </c>
      <c r="C9" s="89" t="n">
        <v>0.4205028737775343</v>
      </c>
    </row>
    <row r="10">
      <c r="A10" s="87" t="inlineStr">
        <is>
          <t xml:space="preserve">    Amazon</t>
        </is>
      </c>
      <c r="B10" s="88" t="n">
        <v>2938665.87</v>
      </c>
      <c r="C10" s="89" t="n">
        <v>0.5639298300873141</v>
      </c>
    </row>
    <row r="11">
      <c r="A11" s="87" t="inlineStr">
        <is>
          <t xml:space="preserve">    Blinkit</t>
        </is>
      </c>
      <c r="B11" s="88" t="n">
        <v>39493</v>
      </c>
      <c r="C11" s="89" t="n">
        <v>0.007578704679221763</v>
      </c>
    </row>
    <row r="12">
      <c r="A12" s="87" t="inlineStr">
        <is>
          <t xml:space="preserve">    OEM</t>
        </is>
      </c>
      <c r="B12" s="88" t="n">
        <v>320696</v>
      </c>
      <c r="C12" s="89" t="n">
        <v>0.06154154599062372</v>
      </c>
    </row>
    <row r="13">
      <c r="A13" s="90" t="inlineStr">
        <is>
          <t xml:space="preserve">    Offline</t>
        </is>
      </c>
      <c r="B13" s="91" t="n">
        <v>310416.95</v>
      </c>
      <c r="C13" s="92" t="n">
        <v>0.05956899682158227</v>
      </c>
    </row>
    <row r="14">
      <c r="A14" s="70" t="inlineStr">
        <is>
          <t>TOTAL GROSS REVENUE</t>
        </is>
      </c>
      <c r="B14" s="71" t="n">
        <v>5800532.82</v>
      </c>
      <c r="C14" s="72" t="n"/>
    </row>
    <row r="15">
      <c r="A15" s="93" t="inlineStr"/>
      <c r="B15" s="65" t="n"/>
      <c r="C15" s="65" t="n"/>
    </row>
    <row r="16">
      <c r="A16" s="94" t="inlineStr">
        <is>
          <t>B. RETURNS</t>
        </is>
      </c>
      <c r="B16" s="67" t="n"/>
      <c r="C16" s="95" t="n"/>
    </row>
    <row r="17">
      <c r="A17" s="87" t="inlineStr">
        <is>
          <t xml:space="preserve">    Amazon Returns</t>
        </is>
      </c>
      <c r="B17" s="73" t="n">
        <v>-319197.55</v>
      </c>
      <c r="C17" s="89" t="n">
        <v>-0.06125399351229643</v>
      </c>
    </row>
    <row r="18">
      <c r="A18" s="90" t="inlineStr">
        <is>
          <t xml:space="preserve">    Offline Returns</t>
        </is>
      </c>
      <c r="B18" s="73" t="n">
        <v>-7134</v>
      </c>
      <c r="C18" s="92" t="n">
        <v>-0.001369014234967414</v>
      </c>
    </row>
    <row r="19">
      <c r="A19" s="70" t="inlineStr">
        <is>
          <t>TOTAL RETURNS</t>
        </is>
      </c>
      <c r="B19" s="71" t="n">
        <v>-326331.55</v>
      </c>
      <c r="C19" s="74" t="n">
        <v>-0.06262300774726384</v>
      </c>
    </row>
    <row r="20">
      <c r="A20" s="93" t="inlineStr"/>
      <c r="B20" s="65" t="n"/>
      <c r="C20" s="65" t="n"/>
    </row>
    <row r="21">
      <c r="A21" s="125" t="inlineStr">
        <is>
          <t>D. TAXES (GST Collected)</t>
        </is>
      </c>
      <c r="B21" s="67" t="n"/>
      <c r="C21" s="126" t="n"/>
    </row>
    <row r="22">
      <c r="A22" s="70" t="inlineStr">
        <is>
          <t>TOTAL TAXES</t>
        </is>
      </c>
      <c r="B22" s="71" t="n">
        <v>-263152.46</v>
      </c>
      <c r="C22" s="74" t="n">
        <v>0.05049894360901219</v>
      </c>
    </row>
    <row r="23">
      <c r="A23" s="127" t="inlineStr"/>
      <c r="B23" s="128" t="n"/>
      <c r="C23" s="128" t="n"/>
    </row>
    <row r="24">
      <c r="A24" s="75" t="inlineStr">
        <is>
          <t>NET REVENUE (external)</t>
        </is>
      </c>
      <c r="B24" s="76" t="n">
        <v>5211048.81</v>
      </c>
      <c r="C24" s="77" t="n">
        <v>1</v>
      </c>
    </row>
    <row r="25">
      <c r="A25" s="93" t="inlineStr"/>
      <c r="B25" s="65" t="n"/>
      <c r="C25" s="65" t="n"/>
    </row>
    <row r="26">
      <c r="A26" s="102" t="inlineStr">
        <is>
          <t>Add: Inter-branch (Internal) Transactions</t>
        </is>
      </c>
      <c r="B26" s="68" t="n">
        <v>1248540</v>
      </c>
      <c r="C26" s="104" t="n">
        <v>0.2395947621146922</v>
      </c>
    </row>
    <row r="27">
      <c r="A27" s="105" t="inlineStr">
        <is>
          <t>TURNOVER (Total — audited basis)</t>
        </is>
      </c>
      <c r="B27" s="71" t="n">
        <v>6459588.81</v>
      </c>
      <c r="C27" s="106" t="n">
        <v>1.239594762114692</v>
      </c>
    </row>
    <row r="28">
      <c r="A28" s="102" t="inlineStr"/>
      <c r="B28" s="65" t="n"/>
      <c r="C28" s="103" t="n"/>
    </row>
    <row r="29">
      <c r="A29" s="107" t="inlineStr">
        <is>
          <t>E. COST OF GOODS MANUFACTURED (COGM)</t>
        </is>
      </c>
      <c r="B29" s="67" t="n"/>
      <c r="C29" s="108" t="n"/>
    </row>
    <row r="30">
      <c r="A30" s="102" t="inlineStr">
        <is>
          <t xml:space="preserve">    Raw Materials &amp; Inventory</t>
        </is>
      </c>
      <c r="B30" s="68" t="n">
        <v>-1929947.22</v>
      </c>
      <c r="C30" s="104" t="n">
        <v>0.3703567727664405</v>
      </c>
    </row>
    <row r="31">
      <c r="A31" s="102" t="inlineStr">
        <is>
          <t xml:space="preserve">    Consumables</t>
        </is>
      </c>
      <c r="B31" s="68" t="n">
        <v>-2500</v>
      </c>
      <c r="C31" s="104" t="n">
        <v>0.0004797498720799739</v>
      </c>
    </row>
    <row r="32">
      <c r="A32" s="90" t="inlineStr">
        <is>
          <t xml:space="preserve">    Factory Maintenance</t>
        </is>
      </c>
      <c r="B32" s="68" t="n">
        <v>-45426</v>
      </c>
      <c r="C32" s="92" t="n">
        <v>0.008717247075641957</v>
      </c>
    </row>
    <row r="33">
      <c r="A33" s="64" t="inlineStr">
        <is>
          <t xml:space="preserve">    Inbound Transport</t>
        </is>
      </c>
      <c r="B33" s="68" t="n">
        <v>-62861.93</v>
      </c>
      <c r="C33" s="69" t="n">
        <v>0.01206320115048011</v>
      </c>
    </row>
    <row r="34">
      <c r="A34" s="109" t="inlineStr">
        <is>
          <t xml:space="preserve">    Job work</t>
        </is>
      </c>
      <c r="B34" s="110" t="n">
        <v>-80320</v>
      </c>
      <c r="C34" s="111" t="n">
        <v>0.0154134038901854</v>
      </c>
    </row>
    <row r="35">
      <c r="A35" s="64" t="inlineStr">
        <is>
          <t xml:space="preserve">    Manufacturing Wages</t>
        </is>
      </c>
      <c r="B35" s="68" t="n">
        <v>-9000</v>
      </c>
      <c r="C35" s="69" t="n">
        <v>0.001727099539487906</v>
      </c>
    </row>
    <row r="36">
      <c r="A36" s="96" t="inlineStr">
        <is>
          <t>TOTAL COGM</t>
        </is>
      </c>
      <c r="B36" s="71" t="n">
        <v>-200107.93</v>
      </c>
      <c r="C36" s="74" t="n">
        <v>0.03840070152787535</v>
      </c>
    </row>
    <row r="37">
      <c r="A37" s="102" t="n"/>
      <c r="B37" s="65" t="n"/>
      <c r="C37" s="103" t="n"/>
    </row>
    <row r="38">
      <c r="A38" s="105" t="inlineStr">
        <is>
          <t>GROSS MARGIN</t>
        </is>
      </c>
      <c r="B38" s="71" t="n">
        <v>3080993.66</v>
      </c>
      <c r="C38" s="106" t="n">
        <v>0.5912425257056843</v>
      </c>
    </row>
    <row r="39">
      <c r="A39" s="90" t="n"/>
      <c r="B39" s="65" t="n"/>
      <c r="C39" s="97" t="n"/>
    </row>
    <row r="40">
      <c r="A40" s="54" t="inlineStr">
        <is>
          <t>F. CHANNEL &amp; FULFILLMENT</t>
        </is>
      </c>
      <c r="B40" s="67" t="n"/>
      <c r="C40" s="67" t="n"/>
    </row>
    <row r="41">
      <c r="A41" s="129" t="inlineStr">
        <is>
          <t xml:space="preserve">    Amazon Fees</t>
        </is>
      </c>
      <c r="B41" s="130" t="n">
        <v>-656374.67</v>
      </c>
      <c r="C41" s="131" t="n">
        <v>0.125958265587614</v>
      </c>
    </row>
    <row r="42">
      <c r="A42" s="64" t="inlineStr">
        <is>
          <t xml:space="preserve">    D2C Fees</t>
        </is>
      </c>
      <c r="B42" s="68" t="n">
        <v>-32470.66</v>
      </c>
      <c r="C42" s="69" t="n">
        <v>0.00623111799254093</v>
      </c>
    </row>
    <row r="43">
      <c r="A43" s="96" t="inlineStr">
        <is>
          <t>TOTAL CHANNEL &amp; FULFILLMENT</t>
        </is>
      </c>
      <c r="B43" s="71" t="n">
        <v>-688845.33</v>
      </c>
      <c r="C43" s="74" t="n">
        <v>0.1321893835801549</v>
      </c>
    </row>
    <row r="44">
      <c r="A44" s="102" t="n"/>
      <c r="B44" s="65" t="n"/>
      <c r="C44" s="103" t="n"/>
    </row>
    <row r="45">
      <c r="A45" s="112" t="inlineStr">
        <is>
          <t>CM1 (Contribution Margin 1)</t>
        </is>
      </c>
      <c r="B45" s="71" t="n">
        <v>2392148.33</v>
      </c>
      <c r="C45" s="113" t="n">
        <v>0.4590531421255293</v>
      </c>
    </row>
    <row r="46">
      <c r="A46" s="64" t="n"/>
      <c r="B46" s="65" t="n"/>
      <c r="C46" s="65" t="n"/>
    </row>
    <row r="47">
      <c r="A47" s="132" t="inlineStr">
        <is>
          <t>G. SALES &amp; MARKETING</t>
        </is>
      </c>
      <c r="B47" s="133" t="n"/>
      <c r="C47" s="133" t="n"/>
    </row>
    <row r="48">
      <c r="A48" s="64" t="inlineStr">
        <is>
          <t xml:space="preserve">    Advertising &amp; Marketing</t>
        </is>
      </c>
      <c r="B48" s="68" t="n">
        <v>-1844765.5</v>
      </c>
      <c r="C48" s="69" t="n">
        <v>0.3540104050570196</v>
      </c>
    </row>
    <row r="49">
      <c r="A49" s="96" t="inlineStr">
        <is>
          <t>TOTAL SALES &amp; MARKETING</t>
        </is>
      </c>
      <c r="B49" s="71" t="n">
        <v>-1844765.5</v>
      </c>
      <c r="C49" s="74" t="n">
        <v>0.3540104050570196</v>
      </c>
    </row>
    <row r="50">
      <c r="A50" s="102" t="n"/>
      <c r="B50" s="65" t="n"/>
      <c r="C50" s="103" t="n"/>
    </row>
    <row r="51">
      <c r="A51" s="112" t="inlineStr">
        <is>
          <t>CM2 (Contribution Margin 2)</t>
        </is>
      </c>
      <c r="B51" s="71" t="n">
        <v>547382.83</v>
      </c>
      <c r="C51" s="113" t="n">
        <v>0.1050427370685096</v>
      </c>
    </row>
    <row r="52">
      <c r="A52" s="64" t="n"/>
      <c r="B52" s="65" t="n"/>
      <c r="C52" s="65" t="n"/>
    </row>
    <row r="53">
      <c r="A53" s="118" t="inlineStr">
        <is>
          <t>H. PLATFORM COSTS</t>
        </is>
      </c>
      <c r="B53" s="119" t="n"/>
      <c r="C53" s="119" t="n"/>
    </row>
    <row r="54">
      <c r="A54" s="64" t="inlineStr">
        <is>
          <t xml:space="preserve">    Shopify Subscription</t>
        </is>
      </c>
      <c r="B54" s="68" t="n">
        <v>-4650.72</v>
      </c>
      <c r="C54" s="69" t="n">
        <v>0.0008924729300319105</v>
      </c>
    </row>
    <row r="55">
      <c r="A55" s="96" t="inlineStr">
        <is>
          <t>TOTAL PLATFORM COSTS</t>
        </is>
      </c>
      <c r="B55" s="71" t="n">
        <v>-4650.72</v>
      </c>
      <c r="C55" s="74" t="n">
        <v>0.0008924729300319105</v>
      </c>
    </row>
    <row r="56">
      <c r="A56" s="102" t="n"/>
      <c r="B56" s="65" t="n"/>
      <c r="C56" s="103" t="n"/>
    </row>
    <row r="57">
      <c r="A57" s="105" t="inlineStr">
        <is>
          <t>CM3 (Contribution Margin 3)</t>
        </is>
      </c>
      <c r="B57" s="71" t="n">
        <v>542732.11</v>
      </c>
      <c r="C57" s="106" t="n">
        <v>0.1041502641384777</v>
      </c>
    </row>
    <row r="58">
      <c r="A58" s="102" t="n"/>
      <c r="B58" s="65" t="n"/>
      <c r="C58" s="103" t="n"/>
    </row>
    <row r="59">
      <c r="A59" s="107" t="inlineStr">
        <is>
          <t>I. OPERATING EXPENSES</t>
        </is>
      </c>
      <c r="B59" s="67" t="n"/>
      <c r="C59" s="108" t="n"/>
    </row>
    <row r="60">
      <c r="A60" s="102" t="inlineStr">
        <is>
          <t xml:space="preserve">    Legal &amp; CA expenses</t>
        </is>
      </c>
      <c r="B60" s="68" t="n">
        <v>-17000</v>
      </c>
      <c r="C60" s="104" t="n">
        <v>0.003262299130143823</v>
      </c>
    </row>
    <row r="61">
      <c r="A61" s="102" t="inlineStr">
        <is>
          <t xml:space="preserve">    Other Operating Expenses</t>
        </is>
      </c>
      <c r="B61" s="68" t="n">
        <v>-22153</v>
      </c>
      <c r="C61" s="104" t="n">
        <v>0.004251159566475065</v>
      </c>
    </row>
    <row r="62">
      <c r="A62" s="102" t="inlineStr">
        <is>
          <t xml:space="preserve">    Banks &amp; Finance Charges</t>
        </is>
      </c>
      <c r="B62" s="68" t="n">
        <v>-2375.48</v>
      </c>
      <c r="C62" s="104" t="n">
        <v>0.0004558544904514146</v>
      </c>
    </row>
    <row r="63">
      <c r="A63" s="90" t="inlineStr">
        <is>
          <t xml:space="preserve">    Administrative Expenses</t>
        </is>
      </c>
      <c r="B63" s="68" t="n">
        <v>-213803.97</v>
      </c>
      <c r="C63" s="92" t="n">
        <v>0.04102897090307623</v>
      </c>
    </row>
    <row r="64">
      <c r="A64" s="64" t="inlineStr">
        <is>
          <t xml:space="preserve">    Staff Welfare &amp; Events</t>
        </is>
      </c>
      <c r="B64" s="68" t="n">
        <v>-85213.92</v>
      </c>
      <c r="C64" s="69" t="n">
        <v>0.01635254688777325</v>
      </c>
    </row>
    <row r="65">
      <c r="A65" s="120" t="inlineStr">
        <is>
          <t xml:space="preserve">    Salaries (Admin Mgmt)</t>
        </is>
      </c>
      <c r="B65" s="121" t="n">
        <v>-541274</v>
      </c>
      <c r="C65" s="122" t="n">
        <v>0.1038704529040863</v>
      </c>
    </row>
    <row r="66">
      <c r="A66" s="64" t="inlineStr">
        <is>
          <t xml:space="preserve">    Miscellaneous (Travel, insurance)</t>
        </is>
      </c>
      <c r="B66" s="68" t="n">
        <v>-16179.48</v>
      </c>
      <c r="C66" s="69" t="n">
        <v>0.003104841384128199</v>
      </c>
    </row>
    <row r="67">
      <c r="A67" s="96" t="inlineStr">
        <is>
          <t>TOTAL OPERATING EXPENSES</t>
        </is>
      </c>
      <c r="B67" s="71" t="n">
        <v>-897999.85</v>
      </c>
      <c r="C67" s="74" t="n">
        <v>0.1723261252661343</v>
      </c>
    </row>
    <row r="68">
      <c r="A68" s="102" t="n"/>
      <c r="B68" s="65" t="n"/>
      <c r="C68" s="103" t="n"/>
    </row>
    <row r="69">
      <c r="A69" s="112" t="inlineStr">
        <is>
          <t>EBITDA</t>
        </is>
      </c>
      <c r="B69" s="71" t="n">
        <v>-355267.74</v>
      </c>
      <c r="C69" s="113" t="n">
        <v>-0.06817586112765657</v>
      </c>
    </row>
    <row r="70">
      <c r="A70" s="64" t="n"/>
      <c r="B70" s="65" t="n"/>
      <c r="C70" s="65" t="n"/>
    </row>
    <row r="71">
      <c r="A71" s="54" t="inlineStr">
        <is>
          <t>J. NON-OPERATING (I+D+A+Tax)</t>
        </is>
      </c>
      <c r="B71" s="67" t="n"/>
      <c r="C71" s="67" t="n"/>
    </row>
    <row r="72">
      <c r="A72" s="134" t="inlineStr">
        <is>
          <t xml:space="preserve">    Less: Interest Expense</t>
        </is>
      </c>
      <c r="B72" s="135" t="n">
        <v>-64556</v>
      </c>
      <c r="C72" s="136" t="n">
        <v>0.01238829309679792</v>
      </c>
    </row>
    <row r="73">
      <c r="A73" s="70" t="inlineStr">
        <is>
          <t>TOTAL NON-OPERATING</t>
        </is>
      </c>
      <c r="B73" s="71" t="n">
        <v>-64556</v>
      </c>
      <c r="C73" s="74" t="n">
        <v>0.01238829309679792</v>
      </c>
    </row>
    <row r="74">
      <c r="B74" s="62" t="n"/>
      <c r="C74" s="62" t="n"/>
    </row>
    <row r="75">
      <c r="B75" s="62" t="n"/>
      <c r="C75" s="62" t="n"/>
    </row>
    <row r="76">
      <c r="A76" s="70" t="inlineStr">
        <is>
          <t>NET INCOME</t>
        </is>
      </c>
      <c r="B76" s="71" t="n">
        <v>-419823.74</v>
      </c>
      <c r="C76" s="74" t="n">
        <v>-0.08056415422445448</v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0" customWidth="1" style="2" min="1" max="1"/>
    <col width="17" customWidth="1" style="2" min="2" max="2"/>
    <col width="13" customWidth="1" style="2" min="3" max="3"/>
  </cols>
  <sheetData>
    <row r="1" ht="24" customHeight="1" s="2">
      <c r="A1" s="61" t="inlineStr">
        <is>
          <t>Sep 2025 - PROFIT &amp; LOSS STATEMENT</t>
        </is>
      </c>
    </row>
    <row r="2">
      <c r="A2" s="63" t="inlineStr">
        <is>
          <t>Heatronics Pvt Ltd</t>
        </is>
      </c>
    </row>
    <row r="3">
      <c r="A3" s="81" t="inlineStr">
        <is>
          <t>Generated: 24 Jan 2026</t>
        </is>
      </c>
      <c r="B3" s="51" t="n"/>
      <c r="C3" s="51" t="n"/>
    </row>
    <row r="4">
      <c r="A4" s="64" t="n"/>
      <c r="B4" s="65" t="n"/>
      <c r="C4" s="65" t="n"/>
    </row>
    <row r="5">
      <c r="A5" s="83" t="inlineStr">
        <is>
          <t>Revenue Formula: Net Revenue = Gross Revenue - Returns - Discounts - Taxes (GST)</t>
        </is>
      </c>
      <c r="B5" s="65" t="n"/>
      <c r="C5" s="65" t="n"/>
    </row>
    <row r="6">
      <c r="A6" s="64" t="n"/>
      <c r="B6" s="65" t="n"/>
      <c r="C6" s="65" t="n"/>
    </row>
    <row r="7">
      <c r="A7" s="84" t="inlineStr">
        <is>
          <t>Particulars</t>
        </is>
      </c>
      <c r="B7" s="85" t="inlineStr">
        <is>
          <t>Amount (₹)</t>
        </is>
      </c>
      <c r="C7" s="85" t="inlineStr">
        <is>
          <t>% of Revenue</t>
        </is>
      </c>
    </row>
    <row r="8">
      <c r="A8" s="86" t="inlineStr">
        <is>
          <t>A. GROSS REVENUE (from Sales Register, by channel)</t>
        </is>
      </c>
      <c r="B8" s="67" t="n"/>
      <c r="C8" s="67" t="n"/>
    </row>
    <row r="9">
      <c r="A9" s="87" t="inlineStr">
        <is>
          <t xml:space="preserve">    D2C</t>
        </is>
      </c>
      <c r="B9" s="88" t="n">
        <v>840103.48</v>
      </c>
      <c r="C9" s="89" t="n">
        <v>0.1142744502337259</v>
      </c>
    </row>
    <row r="10">
      <c r="A10" s="87" t="inlineStr">
        <is>
          <t xml:space="preserve">    Amazon</t>
        </is>
      </c>
      <c r="B10" s="88" t="n">
        <v>2952296.44</v>
      </c>
      <c r="C10" s="89" t="n">
        <v>0.4015839246469806</v>
      </c>
    </row>
    <row r="11">
      <c r="A11" s="87" t="inlineStr">
        <is>
          <t xml:space="preserve">    Blinkit</t>
        </is>
      </c>
      <c r="B11" s="88" t="n">
        <v>953626</v>
      </c>
      <c r="C11" s="89" t="n">
        <v>0.1297162664753955</v>
      </c>
    </row>
    <row r="12">
      <c r="A12" s="87" t="inlineStr">
        <is>
          <t xml:space="preserve">    OEM</t>
        </is>
      </c>
      <c r="B12" s="88" t="n">
        <v>2539114</v>
      </c>
      <c r="C12" s="89" t="n">
        <v>0.3453810909469828</v>
      </c>
    </row>
    <row r="13">
      <c r="A13" s="90" t="inlineStr">
        <is>
          <t xml:space="preserve">    Offline</t>
        </is>
      </c>
      <c r="B13" s="91" t="n">
        <v>876924.36</v>
      </c>
      <c r="C13" s="92" t="n">
        <v>0.1192829830148566</v>
      </c>
    </row>
    <row r="14">
      <c r="A14" s="70" t="inlineStr">
        <is>
          <t>TOTAL GROSS REVENUE</t>
        </is>
      </c>
      <c r="B14" s="71" t="n">
        <v>8162064.28</v>
      </c>
      <c r="C14" s="72" t="n"/>
    </row>
    <row r="15">
      <c r="A15" s="93" t="inlineStr"/>
      <c r="B15" s="65" t="n"/>
      <c r="C15" s="65" t="n"/>
    </row>
    <row r="16">
      <c r="A16" s="94" t="inlineStr">
        <is>
          <t>B. RETURNS</t>
        </is>
      </c>
      <c r="B16" s="67" t="n"/>
      <c r="C16" s="95" t="n"/>
    </row>
    <row r="17">
      <c r="A17" s="87" t="inlineStr">
        <is>
          <t xml:space="preserve">    Amazon Returns</t>
        </is>
      </c>
      <c r="B17" s="73" t="n">
        <v>-292224.14</v>
      </c>
      <c r="C17" s="89" t="n">
        <v>-0.03974957102132627</v>
      </c>
    </row>
    <row r="18">
      <c r="A18" s="90" t="inlineStr">
        <is>
          <t xml:space="preserve">    Offline Returns</t>
        </is>
      </c>
      <c r="B18" s="73" t="n">
        <v>-147861</v>
      </c>
      <c r="C18" s="92" t="n">
        <v>-0.02011268241146787</v>
      </c>
    </row>
    <row r="19">
      <c r="A19" s="70" t="inlineStr">
        <is>
          <t>TOTAL RETURNS</t>
        </is>
      </c>
      <c r="B19" s="71" t="n">
        <v>-440085.14</v>
      </c>
      <c r="C19" s="74" t="n">
        <v>-0.05986225343279414</v>
      </c>
    </row>
    <row r="20">
      <c r="A20" s="93" t="inlineStr"/>
      <c r="B20" s="65" t="n"/>
      <c r="C20" s="65" t="n"/>
    </row>
    <row r="21">
      <c r="A21" s="125" t="inlineStr">
        <is>
          <t>D. TAXES (GST Collected)</t>
        </is>
      </c>
      <c r="B21" s="67" t="n"/>
      <c r="C21" s="126" t="n"/>
    </row>
    <row r="22">
      <c r="A22" s="70" t="inlineStr">
        <is>
          <t>TOTAL TAXES</t>
        </is>
      </c>
      <c r="B22" s="71" t="n">
        <v>-370349.11</v>
      </c>
      <c r="C22" s="74" t="n">
        <v>0.05037646188514739</v>
      </c>
    </row>
    <row r="23">
      <c r="A23" s="127" t="inlineStr"/>
      <c r="B23" s="128" t="n"/>
      <c r="C23" s="128" t="n"/>
    </row>
    <row r="24">
      <c r="A24" s="75" t="inlineStr">
        <is>
          <t>NET REVENUE (external)</t>
        </is>
      </c>
      <c r="B24" s="76" t="n">
        <v>7351630.03</v>
      </c>
      <c r="C24" s="77" t="n">
        <v>1</v>
      </c>
    </row>
    <row r="25">
      <c r="A25" s="93" t="inlineStr"/>
      <c r="B25" s="65" t="n"/>
      <c r="C25" s="65" t="n"/>
    </row>
    <row r="26">
      <c r="A26" s="102" t="inlineStr">
        <is>
          <t>Add: Inter-branch (Internal) Transactions</t>
        </is>
      </c>
      <c r="B26" s="68" t="n">
        <v>1637809</v>
      </c>
      <c r="C26" s="104" t="n">
        <v>0.2227817495326271</v>
      </c>
    </row>
    <row r="27">
      <c r="A27" s="105" t="inlineStr">
        <is>
          <t>TURNOVER (Total — audited basis)</t>
        </is>
      </c>
      <c r="B27" s="71" t="n">
        <v>8989439.029999999</v>
      </c>
      <c r="C27" s="106" t="n">
        <v>1.222781749532627</v>
      </c>
    </row>
    <row r="28">
      <c r="A28" s="102" t="inlineStr"/>
      <c r="B28" s="65" t="n"/>
      <c r="C28" s="103" t="n"/>
    </row>
    <row r="29">
      <c r="A29" s="107" t="inlineStr">
        <is>
          <t>E. COST OF GOODS MANUFACTURED (COGM)</t>
        </is>
      </c>
      <c r="B29" s="67" t="n"/>
      <c r="C29" s="108" t="n"/>
    </row>
    <row r="30">
      <c r="A30" s="90" t="inlineStr">
        <is>
          <t xml:space="preserve">    Raw Materials &amp; Inventory</t>
        </is>
      </c>
      <c r="B30" s="68" t="n">
        <v>-2722725.98</v>
      </c>
      <c r="C30" s="92" t="n">
        <v>0.3703567737888463</v>
      </c>
    </row>
    <row r="31">
      <c r="A31" s="64" t="inlineStr">
        <is>
          <t xml:space="preserve">    Factory Maintenance</t>
        </is>
      </c>
      <c r="B31" s="68" t="n">
        <v>-38250</v>
      </c>
      <c r="C31" s="69" t="n">
        <v>0.005202927764851083</v>
      </c>
    </row>
    <row r="32">
      <c r="A32" s="109" t="inlineStr">
        <is>
          <t xml:space="preserve">    Inbound Transport</t>
        </is>
      </c>
      <c r="B32" s="110" t="n">
        <v>-47218.42</v>
      </c>
      <c r="C32" s="111" t="n">
        <v>0.006422850416481037</v>
      </c>
    </row>
    <row r="33">
      <c r="A33" s="64" t="inlineStr">
        <is>
          <t xml:space="preserve">    Job work</t>
        </is>
      </c>
      <c r="B33" s="68" t="n">
        <v>-105620</v>
      </c>
      <c r="C33" s="69" t="n">
        <v>0.0143668818437535</v>
      </c>
    </row>
    <row r="34">
      <c r="A34" s="96" t="inlineStr">
        <is>
          <t>TOTAL COGM</t>
        </is>
      </c>
      <c r="B34" s="71" t="n">
        <v>-191088.42</v>
      </c>
      <c r="C34" s="74" t="n">
        <v>0.02599266002508562</v>
      </c>
    </row>
    <row r="35">
      <c r="A35" s="102" t="n"/>
      <c r="B35" s="65" t="n"/>
      <c r="C35" s="103" t="n"/>
    </row>
    <row r="36">
      <c r="A36" s="105" t="inlineStr">
        <is>
          <t>GROSS MARGIN</t>
        </is>
      </c>
      <c r="B36" s="71" t="n">
        <v>4437815.63</v>
      </c>
      <c r="C36" s="106" t="n">
        <v>0.6036505661860679</v>
      </c>
    </row>
    <row r="37">
      <c r="A37" s="90" t="n"/>
      <c r="B37" s="65" t="n"/>
      <c r="C37" s="97" t="n"/>
    </row>
    <row r="38">
      <c r="A38" s="54" t="inlineStr">
        <is>
          <t>F. CHANNEL &amp; FULFILLMENT</t>
        </is>
      </c>
      <c r="B38" s="67" t="n"/>
      <c r="C38" s="67" t="n"/>
    </row>
    <row r="39">
      <c r="A39" s="129" t="inlineStr">
        <is>
          <t xml:space="preserve">    Amazon Fees</t>
        </is>
      </c>
      <c r="B39" s="130" t="n">
        <v>-650053.3100000001</v>
      </c>
      <c r="C39" s="131" t="n">
        <v>0.08842301739169538</v>
      </c>
    </row>
    <row r="40">
      <c r="A40" s="64" t="inlineStr">
        <is>
          <t xml:space="preserve">    D2C Fees</t>
        </is>
      </c>
      <c r="B40" s="68" t="n">
        <v>-56944.23</v>
      </c>
      <c r="C40" s="69" t="n">
        <v>0.007745796478825255</v>
      </c>
    </row>
    <row r="41">
      <c r="A41" s="96" t="inlineStr">
        <is>
          <t>TOTAL CHANNEL &amp; FULFILLMENT</t>
        </is>
      </c>
      <c r="B41" s="71" t="n">
        <v>-706997.54</v>
      </c>
      <c r="C41" s="74" t="n">
        <v>0.09616881387052063</v>
      </c>
    </row>
    <row r="42">
      <c r="A42" s="102" t="n"/>
      <c r="B42" s="65" t="n"/>
      <c r="C42" s="103" t="n"/>
    </row>
    <row r="43">
      <c r="A43" s="112" t="inlineStr">
        <is>
          <t>CM1 (Contribution Margin 1)</t>
        </is>
      </c>
      <c r="B43" s="71" t="n">
        <v>3730818.09</v>
      </c>
      <c r="C43" s="113" t="n">
        <v>0.5074817523155474</v>
      </c>
    </row>
    <row r="44">
      <c r="A44" s="64" t="n"/>
      <c r="B44" s="65" t="n"/>
      <c r="C44" s="65" t="n"/>
    </row>
    <row r="45">
      <c r="A45" s="132" t="inlineStr">
        <is>
          <t>G. SALES &amp; MARKETING</t>
        </is>
      </c>
      <c r="B45" s="133" t="n"/>
      <c r="C45" s="133" t="n"/>
    </row>
    <row r="46">
      <c r="A46" s="64" t="inlineStr">
        <is>
          <t xml:space="preserve">    Advertising &amp; Marketing</t>
        </is>
      </c>
      <c r="B46" s="68" t="n">
        <v>-1114137.57</v>
      </c>
      <c r="C46" s="69" t="n">
        <v>0.1515497332501103</v>
      </c>
    </row>
    <row r="47">
      <c r="A47" s="96" t="inlineStr">
        <is>
          <t>TOTAL SALES &amp; MARKETING</t>
        </is>
      </c>
      <c r="B47" s="71" t="n">
        <v>-1114137.57</v>
      </c>
      <c r="C47" s="74" t="n">
        <v>0.1515497332501103</v>
      </c>
    </row>
    <row r="48">
      <c r="A48" s="102" t="n"/>
      <c r="B48" s="65" t="n"/>
      <c r="C48" s="103" t="n"/>
    </row>
    <row r="49">
      <c r="A49" s="112" t="inlineStr">
        <is>
          <t>CM2 (Contribution Margin 2)</t>
        </is>
      </c>
      <c r="B49" s="71" t="n">
        <v>2616680.52</v>
      </c>
      <c r="C49" s="113" t="n">
        <v>0.3559320190654371</v>
      </c>
    </row>
    <row r="50">
      <c r="A50" s="64" t="n"/>
      <c r="B50" s="65" t="n"/>
      <c r="C50" s="65" t="n"/>
    </row>
    <row r="51">
      <c r="A51" s="118" t="inlineStr">
        <is>
          <t>H. PLATFORM COSTS</t>
        </is>
      </c>
      <c r="B51" s="119" t="n"/>
      <c r="C51" s="119" t="n"/>
    </row>
    <row r="52">
      <c r="A52" s="64" t="inlineStr">
        <is>
          <t xml:space="preserve">    Shopify Subscription</t>
        </is>
      </c>
      <c r="B52" s="68" t="n">
        <v>-989.58</v>
      </c>
      <c r="C52" s="69" t="n">
        <v>0.0001346068825501003</v>
      </c>
    </row>
    <row r="53">
      <c r="A53" s="96" t="inlineStr">
        <is>
          <t>TOTAL PLATFORM COSTS</t>
        </is>
      </c>
      <c r="B53" s="71" t="n">
        <v>-989.58</v>
      </c>
      <c r="C53" s="74" t="n">
        <v>0.0001346068825501003</v>
      </c>
    </row>
    <row r="54">
      <c r="A54" s="102" t="n"/>
      <c r="B54" s="65" t="n"/>
      <c r="C54" s="103" t="n"/>
    </row>
    <row r="55">
      <c r="A55" s="105" t="inlineStr">
        <is>
          <t>CM3 (Contribution Margin 3)</t>
        </is>
      </c>
      <c r="B55" s="71" t="n">
        <v>2615690.94</v>
      </c>
      <c r="C55" s="106" t="n">
        <v>0.355797412182887</v>
      </c>
    </row>
    <row r="56">
      <c r="A56" s="102" t="n"/>
      <c r="B56" s="65" t="n"/>
      <c r="C56" s="103" t="n"/>
    </row>
    <row r="57">
      <c r="A57" s="107" t="inlineStr">
        <is>
          <t>I. OPERATING EXPENSES</t>
        </is>
      </c>
      <c r="B57" s="67" t="n"/>
      <c r="C57" s="108" t="n"/>
    </row>
    <row r="58">
      <c r="A58" s="102" t="inlineStr">
        <is>
          <t xml:space="preserve">    Other Operating Expenses</t>
        </is>
      </c>
      <c r="B58" s="68" t="n">
        <v>-23187.11</v>
      </c>
      <c r="C58" s="104" t="n">
        <v>0.003154009370082515</v>
      </c>
    </row>
    <row r="59">
      <c r="A59" s="102" t="inlineStr">
        <is>
          <t xml:space="preserve">    Banks &amp; Finance Charges</t>
        </is>
      </c>
      <c r="B59" s="68" t="n">
        <v>-738</v>
      </c>
      <c r="C59" s="104" t="n">
        <v>0.0001003859004041856</v>
      </c>
    </row>
    <row r="60">
      <c r="A60" s="102" t="inlineStr">
        <is>
          <t xml:space="preserve">    Administrative Expenses</t>
        </is>
      </c>
      <c r="B60" s="68" t="n">
        <v>-199143.18</v>
      </c>
      <c r="C60" s="104" t="n">
        <v>0.02708830275562711</v>
      </c>
    </row>
    <row r="61">
      <c r="A61" s="90" t="inlineStr">
        <is>
          <t xml:space="preserve">    Salaries (Admin Mgmt)</t>
        </is>
      </c>
      <c r="B61" s="68" t="n">
        <v>-559350</v>
      </c>
      <c r="C61" s="92" t="n">
        <v>0.07608516719658701</v>
      </c>
    </row>
    <row r="62">
      <c r="A62" s="64" t="inlineStr">
        <is>
          <t xml:space="preserve">    Legal &amp; CA expenses</t>
        </is>
      </c>
      <c r="B62" s="68" t="n">
        <v>-51400</v>
      </c>
      <c r="C62" s="69" t="n">
        <v>0.006991646721917533</v>
      </c>
    </row>
    <row r="63">
      <c r="A63" s="120" t="inlineStr">
        <is>
          <t xml:space="preserve">    Miscellaneous (Travel, insurance)</t>
        </is>
      </c>
      <c r="B63" s="121" t="n">
        <v>-13860.41</v>
      </c>
      <c r="C63" s="122" t="n">
        <v>0.001885351948267179</v>
      </c>
    </row>
    <row r="64">
      <c r="A64" s="64" t="inlineStr">
        <is>
          <t xml:space="preserve">    Staff Welfare &amp; Events</t>
        </is>
      </c>
      <c r="B64" s="68" t="n">
        <v>-6438.83</v>
      </c>
      <c r="C64" s="69" t="n">
        <v>0.0008758370556903555</v>
      </c>
    </row>
    <row r="65">
      <c r="A65" s="96" t="inlineStr">
        <is>
          <t>TOTAL OPERATING EXPENSES</t>
        </is>
      </c>
      <c r="B65" s="71" t="n">
        <v>-854117.53</v>
      </c>
      <c r="C65" s="74" t="n">
        <v>0.1161807009485759</v>
      </c>
    </row>
    <row r="66">
      <c r="A66" s="102" t="n"/>
      <c r="B66" s="65" t="n"/>
      <c r="C66" s="103" t="n"/>
    </row>
    <row r="67">
      <c r="A67" s="112" t="inlineStr">
        <is>
          <t>EBITDA</t>
        </is>
      </c>
      <c r="B67" s="71" t="n">
        <v>1761573.41</v>
      </c>
      <c r="C67" s="113" t="n">
        <v>0.2396167112343111</v>
      </c>
    </row>
    <row r="68">
      <c r="A68" s="64" t="n"/>
      <c r="B68" s="65" t="n"/>
      <c r="C68" s="65" t="n"/>
    </row>
    <row r="69">
      <c r="A69" s="54" t="inlineStr">
        <is>
          <t>J. NON-OPERATING (I+D+A+Tax)</t>
        </is>
      </c>
      <c r="B69" s="67" t="n"/>
      <c r="C69" s="67" t="n"/>
    </row>
    <row r="70">
      <c r="A70" s="137" t="inlineStr">
        <is>
          <t xml:space="preserve">    Less: Interest Expense</t>
        </is>
      </c>
      <c r="B70" s="138" t="n">
        <v>-62805</v>
      </c>
      <c r="C70" s="139" t="n">
        <v>0.008543003353502542</v>
      </c>
    </row>
    <row r="71">
      <c r="A71" s="70" t="inlineStr">
        <is>
          <t>TOTAL NON-OPERATING</t>
        </is>
      </c>
      <c r="B71" s="71" t="n">
        <v>-62805</v>
      </c>
      <c r="C71" s="74" t="n">
        <v>0.008543003353502542</v>
      </c>
    </row>
    <row r="72">
      <c r="B72" s="62" t="n"/>
      <c r="C72" s="62" t="n"/>
    </row>
    <row r="73">
      <c r="B73" s="62" t="n"/>
      <c r="C73" s="62" t="n"/>
    </row>
    <row r="74">
      <c r="A74" s="70" t="inlineStr">
        <is>
          <t>NET INCOME</t>
        </is>
      </c>
      <c r="B74" s="71" t="n">
        <v>1698768.41</v>
      </c>
      <c r="C74" s="74" t="n">
        <v>0.2310737078808086</v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0" customWidth="1" style="2" min="1" max="1"/>
    <col width="17" customWidth="1" style="2" min="2" max="2"/>
    <col width="13" customWidth="1" style="2" min="3" max="3"/>
  </cols>
  <sheetData>
    <row r="1" ht="24" customHeight="1" s="2">
      <c r="A1" s="61" t="inlineStr">
        <is>
          <t>Aug 2025 - PROFIT &amp; LOSS STATEMENT</t>
        </is>
      </c>
    </row>
    <row r="2">
      <c r="A2" s="63" t="inlineStr">
        <is>
          <t>Heatronics Pvt Ltd</t>
        </is>
      </c>
    </row>
    <row r="3">
      <c r="A3" s="81" t="inlineStr">
        <is>
          <t>Generated: 24 Jan 2026</t>
        </is>
      </c>
      <c r="B3" s="51" t="n"/>
      <c r="C3" s="51" t="n"/>
    </row>
    <row r="4">
      <c r="A4" s="64" t="n"/>
      <c r="B4" s="65" t="n"/>
      <c r="C4" s="65" t="n"/>
    </row>
    <row r="5">
      <c r="A5" s="83" t="inlineStr">
        <is>
          <t>Revenue Formula: Net Revenue = Gross Revenue - Returns - Discounts - Taxes (GST)</t>
        </is>
      </c>
      <c r="B5" s="65" t="n"/>
      <c r="C5" s="65" t="n"/>
    </row>
    <row r="6">
      <c r="A6" s="64" t="n"/>
      <c r="B6" s="65" t="n"/>
      <c r="C6" s="65" t="n"/>
    </row>
    <row r="7">
      <c r="A7" s="84" t="inlineStr">
        <is>
          <t>Particulars</t>
        </is>
      </c>
      <c r="B7" s="85" t="inlineStr">
        <is>
          <t>Amount (₹)</t>
        </is>
      </c>
      <c r="C7" s="85" t="inlineStr">
        <is>
          <t>% of Revenue</t>
        </is>
      </c>
    </row>
    <row r="8">
      <c r="A8" s="86" t="inlineStr">
        <is>
          <t>A. GROSS REVENUE (from Sales Register, by channel)</t>
        </is>
      </c>
      <c r="B8" s="67" t="n"/>
      <c r="C8" s="67" t="n"/>
    </row>
    <row r="9">
      <c r="A9" s="87" t="inlineStr">
        <is>
          <t xml:space="preserve">    D2C</t>
        </is>
      </c>
      <c r="B9" s="88" t="n">
        <v>62330.03</v>
      </c>
      <c r="C9" s="89" t="n">
        <v>0.01989592740010548</v>
      </c>
    </row>
    <row r="10">
      <c r="A10" s="87" t="inlineStr">
        <is>
          <t xml:space="preserve">    Amazon</t>
        </is>
      </c>
      <c r="B10" s="88" t="n">
        <v>2291375.08</v>
      </c>
      <c r="C10" s="89" t="n">
        <v>0.7314136097494403</v>
      </c>
    </row>
    <row r="11">
      <c r="A11" s="87" t="inlineStr">
        <is>
          <t xml:space="preserve">    Blinkit</t>
        </is>
      </c>
      <c r="B11" s="88" t="n">
        <v>340341</v>
      </c>
      <c r="C11" s="89" t="n">
        <v>0.1086378400151468</v>
      </c>
    </row>
    <row r="12">
      <c r="A12" s="87" t="inlineStr">
        <is>
          <t xml:space="preserve">    OEM</t>
        </is>
      </c>
      <c r="B12" s="88" t="n">
        <v>678799</v>
      </c>
      <c r="C12" s="89" t="n">
        <v>0.2166746209373588</v>
      </c>
    </row>
    <row r="13">
      <c r="A13" s="90" t="inlineStr">
        <is>
          <t xml:space="preserve">    Offline</t>
        </is>
      </c>
      <c r="B13" s="91" t="n">
        <v>275774</v>
      </c>
      <c r="C13" s="92" t="n">
        <v>0.08802786526553397</v>
      </c>
    </row>
    <row r="14">
      <c r="A14" s="70" t="inlineStr">
        <is>
          <t>TOTAL GROSS REVENUE</t>
        </is>
      </c>
      <c r="B14" s="71" t="n">
        <v>3648619.11</v>
      </c>
      <c r="C14" s="72" t="n"/>
    </row>
    <row r="15">
      <c r="A15" s="93" t="inlineStr"/>
      <c r="B15" s="65" t="n"/>
      <c r="C15" s="65" t="n"/>
    </row>
    <row r="16">
      <c r="A16" s="94" t="inlineStr">
        <is>
          <t>B. RETURNS</t>
        </is>
      </c>
      <c r="B16" s="67" t="n"/>
      <c r="C16" s="95" t="n"/>
    </row>
    <row r="17">
      <c r="A17" s="87" t="inlineStr">
        <is>
          <t xml:space="preserve">    Amazon Returns</t>
        </is>
      </c>
      <c r="B17" s="73" t="n">
        <v>-223161.19</v>
      </c>
      <c r="C17" s="89" t="n">
        <v>-0.07123370283571412</v>
      </c>
    </row>
    <row r="18">
      <c r="A18" s="87" t="inlineStr">
        <is>
          <t xml:space="preserve">    Blinkit Returns</t>
        </is>
      </c>
      <c r="B18" s="73" t="n">
        <v>-9144</v>
      </c>
      <c r="C18" s="89" t="n">
        <v>-0.002918791474134772</v>
      </c>
    </row>
    <row r="19">
      <c r="A19" s="90" t="inlineStr">
        <is>
          <t xml:space="preserve">    OEM Returns</t>
        </is>
      </c>
      <c r="B19" s="73" t="n">
        <v>-62370</v>
      </c>
      <c r="C19" s="92" t="n">
        <v>-0.01990868594070273</v>
      </c>
    </row>
    <row r="20">
      <c r="A20" s="64" t="inlineStr">
        <is>
          <t xml:space="preserve">    Offline Returns</t>
        </is>
      </c>
      <c r="B20" s="73" t="n">
        <v>-58362</v>
      </c>
      <c r="C20" s="69" t="n">
        <v>-0.01862932064889037</v>
      </c>
    </row>
    <row r="21">
      <c r="A21" s="96" t="inlineStr">
        <is>
          <t>TOTAL RETURNS</t>
        </is>
      </c>
      <c r="B21" s="71" t="n">
        <v>-353037.19</v>
      </c>
      <c r="C21" s="74" t="n">
        <v>-0.112690500899442</v>
      </c>
    </row>
    <row r="22">
      <c r="A22" s="90" t="inlineStr"/>
      <c r="B22" s="65" t="n"/>
      <c r="C22" s="97" t="n"/>
    </row>
    <row r="23">
      <c r="A23" s="54" t="inlineStr">
        <is>
          <t>D. TAXES (GST Collected)</t>
        </is>
      </c>
      <c r="B23" s="67" t="n"/>
      <c r="C23" s="67" t="n"/>
    </row>
    <row r="24">
      <c r="A24" s="98" t="inlineStr">
        <is>
          <t>TOTAL TAXES</t>
        </is>
      </c>
      <c r="B24" s="99" t="n">
        <v>-162778.47</v>
      </c>
      <c r="C24" s="100" t="n">
        <v>0.05195936246814335</v>
      </c>
    </row>
    <row r="25">
      <c r="A25" s="64" t="inlineStr"/>
      <c r="B25" s="65" t="n"/>
      <c r="C25" s="65" t="n"/>
    </row>
    <row r="26">
      <c r="A26" s="101" t="inlineStr">
        <is>
          <t>NET REVENUE (external)</t>
        </is>
      </c>
      <c r="B26" s="76" t="n">
        <v>3132803.45</v>
      </c>
      <c r="C26" s="77" t="n">
        <v>1</v>
      </c>
    </row>
    <row r="27">
      <c r="A27" s="102" t="inlineStr"/>
      <c r="B27" s="65" t="n"/>
      <c r="C27" s="103" t="n"/>
    </row>
    <row r="28">
      <c r="A28" s="102" t="inlineStr">
        <is>
          <t>Add: Inter-branch (Internal) Transactions</t>
        </is>
      </c>
      <c r="B28" s="68" t="n">
        <v>1161826</v>
      </c>
      <c r="C28" s="104" t="n">
        <v>0.370858248384526</v>
      </c>
    </row>
    <row r="29">
      <c r="A29" s="105" t="inlineStr">
        <is>
          <t>TURNOVER (Total — audited basis)</t>
        </is>
      </c>
      <c r="B29" s="71" t="n">
        <v>4294629.45</v>
      </c>
      <c r="C29" s="106" t="n">
        <v>1.370858248384526</v>
      </c>
    </row>
    <row r="30">
      <c r="A30" s="102" t="inlineStr"/>
      <c r="B30" s="65" t="n"/>
      <c r="C30" s="103" t="n"/>
    </row>
    <row r="31">
      <c r="A31" s="125" t="inlineStr">
        <is>
          <t>E. COST OF GOODS MANUFACTURED (COGM)</t>
        </is>
      </c>
      <c r="B31" s="67" t="n"/>
      <c r="C31" s="126" t="n"/>
    </row>
    <row r="32">
      <c r="A32" s="64" t="inlineStr">
        <is>
          <t xml:space="preserve">    Raw Materials &amp; Inventory</t>
        </is>
      </c>
      <c r="B32" s="68" t="n">
        <v>-1160254.98</v>
      </c>
      <c r="C32" s="69" t="n">
        <v>0.3703567742176739</v>
      </c>
    </row>
    <row r="33">
      <c r="A33" s="109" t="inlineStr">
        <is>
          <t xml:space="preserve">    Factory Maintenance</t>
        </is>
      </c>
      <c r="B33" s="110" t="n">
        <v>-41327</v>
      </c>
      <c r="C33" s="111" t="n">
        <v>0.01319169895577075</v>
      </c>
    </row>
    <row r="34">
      <c r="A34" s="64" t="inlineStr">
        <is>
          <t xml:space="preserve">    Inbound Transport</t>
        </is>
      </c>
      <c r="B34" s="68" t="n">
        <v>-37337.5</v>
      </c>
      <c r="C34" s="69" t="n">
        <v>0.01191823891792509</v>
      </c>
    </row>
    <row r="35">
      <c r="A35" s="93" t="inlineStr">
        <is>
          <t xml:space="preserve">    Job work</t>
        </is>
      </c>
      <c r="B35" s="68" t="n">
        <v>-48829</v>
      </c>
      <c r="C35" s="69" t="n">
        <v>0.01558635923999637</v>
      </c>
    </row>
    <row r="36">
      <c r="A36" s="105" t="inlineStr">
        <is>
          <t>TOTAL COGM</t>
        </is>
      </c>
      <c r="B36" s="71" t="n">
        <v>-127493.5</v>
      </c>
      <c r="C36" s="106" t="n">
        <v>0.04069629711369221</v>
      </c>
    </row>
    <row r="37">
      <c r="A37" s="102" t="n"/>
      <c r="B37" s="65" t="n"/>
      <c r="C37" s="103" t="n"/>
    </row>
    <row r="38">
      <c r="A38" s="112" t="inlineStr">
        <is>
          <t>GROSS MARGIN</t>
        </is>
      </c>
      <c r="B38" s="71" t="n">
        <v>1845054.97</v>
      </c>
      <c r="C38" s="113" t="n">
        <v>0.5889469286686339</v>
      </c>
    </row>
    <row r="39">
      <c r="A39" s="64" t="n"/>
      <c r="B39" s="65" t="n"/>
      <c r="C39" s="65" t="n"/>
    </row>
    <row r="40">
      <c r="A40" s="114" t="inlineStr">
        <is>
          <t>F. CHANNEL &amp; FULFILLMENT</t>
        </is>
      </c>
      <c r="B40" s="115" t="n"/>
      <c r="C40" s="115" t="n"/>
    </row>
    <row r="41">
      <c r="A41" s="64" t="inlineStr">
        <is>
          <t xml:space="preserve">    Amazon Fees</t>
        </is>
      </c>
      <c r="B41" s="68" t="n">
        <v>-545259.75</v>
      </c>
      <c r="C41" s="69" t="n">
        <v>0.1740485027874953</v>
      </c>
    </row>
    <row r="42">
      <c r="A42" s="93" t="inlineStr">
        <is>
          <t xml:space="preserve">    D2C Fees</t>
        </is>
      </c>
      <c r="B42" s="68" t="n">
        <v>-44115</v>
      </c>
      <c r="C42" s="69" t="n">
        <v>0.0140816366886981</v>
      </c>
    </row>
    <row r="43">
      <c r="A43" s="105" t="inlineStr">
        <is>
          <t>TOTAL CHANNEL &amp; FULFILLMENT</t>
        </is>
      </c>
      <c r="B43" s="71" t="n">
        <v>-589374.75</v>
      </c>
      <c r="C43" s="106" t="n">
        <v>0.1881301394761934</v>
      </c>
    </row>
    <row r="44">
      <c r="A44" s="90" t="n"/>
      <c r="B44" s="65" t="n"/>
      <c r="C44" s="97" t="n"/>
    </row>
    <row r="45">
      <c r="A45" s="70" t="inlineStr">
        <is>
          <t>CM1 (Contribution Margin 1)</t>
        </is>
      </c>
      <c r="B45" s="71" t="n">
        <v>1255680.22</v>
      </c>
      <c r="C45" s="74" t="n">
        <v>0.4008167891924403</v>
      </c>
    </row>
    <row r="46">
      <c r="A46" s="116" t="n"/>
      <c r="B46" s="117" t="n"/>
      <c r="C46" s="117" t="n"/>
    </row>
    <row r="47">
      <c r="A47" s="54" t="inlineStr">
        <is>
          <t>G. SALES &amp; MARKETING</t>
        </is>
      </c>
      <c r="B47" s="67" t="n"/>
      <c r="C47" s="67" t="n"/>
    </row>
    <row r="48">
      <c r="A48" s="93" t="inlineStr">
        <is>
          <t xml:space="preserve">    Advertising &amp; Marketing</t>
        </is>
      </c>
      <c r="B48" s="68" t="n">
        <v>-617050.79</v>
      </c>
      <c r="C48" s="69" t="n">
        <v>0.1969644121784914</v>
      </c>
    </row>
    <row r="49">
      <c r="A49" s="105" t="inlineStr">
        <is>
          <t>TOTAL SALES &amp; MARKETING</t>
        </is>
      </c>
      <c r="B49" s="71" t="n">
        <v>-617050.79</v>
      </c>
      <c r="C49" s="106" t="n">
        <v>0.1969644121784914</v>
      </c>
    </row>
    <row r="50">
      <c r="A50" s="90" t="n"/>
      <c r="B50" s="65" t="n"/>
      <c r="C50" s="97" t="n"/>
    </row>
    <row r="51">
      <c r="A51" s="70" t="inlineStr">
        <is>
          <t>CM2 (Contribution Margin 2)</t>
        </is>
      </c>
      <c r="B51" s="71" t="n">
        <v>638629.4300000001</v>
      </c>
      <c r="C51" s="74" t="n">
        <v>0.203852377013949</v>
      </c>
    </row>
    <row r="52">
      <c r="A52" s="140" t="n"/>
      <c r="B52" s="141" t="n"/>
      <c r="C52" s="141" t="n"/>
    </row>
    <row r="53">
      <c r="A53" s="54" t="inlineStr">
        <is>
          <t>H. PLATFORM COSTS</t>
        </is>
      </c>
      <c r="B53" s="67" t="n"/>
      <c r="C53" s="67" t="n"/>
    </row>
    <row r="54">
      <c r="A54" s="93" t="inlineStr">
        <is>
          <t xml:space="preserve">    Shopify Subscription</t>
        </is>
      </c>
      <c r="B54" s="68" t="n">
        <v>-399.79</v>
      </c>
      <c r="C54" s="69" t="n">
        <v>0.0001276141342349454</v>
      </c>
    </row>
    <row r="55">
      <c r="A55" s="105" t="inlineStr">
        <is>
          <t>TOTAL PLATFORM COSTS</t>
        </is>
      </c>
      <c r="B55" s="71" t="n">
        <v>-399.79</v>
      </c>
      <c r="C55" s="106" t="n">
        <v>0.0001276141342349454</v>
      </c>
    </row>
    <row r="56">
      <c r="A56" s="102" t="n"/>
      <c r="B56" s="65" t="n"/>
      <c r="C56" s="103" t="n"/>
    </row>
    <row r="57">
      <c r="A57" s="105" t="inlineStr">
        <is>
          <t>CM3 (Contribution Margin 3)</t>
        </is>
      </c>
      <c r="B57" s="71" t="n">
        <v>638229.64</v>
      </c>
      <c r="C57" s="106" t="n">
        <v>0.203724762879714</v>
      </c>
    </row>
    <row r="58">
      <c r="A58" s="102" t="n"/>
      <c r="B58" s="65" t="n"/>
      <c r="C58" s="103" t="n"/>
    </row>
    <row r="59">
      <c r="A59" s="107" t="inlineStr">
        <is>
          <t>I. OPERATING EXPENSES</t>
        </is>
      </c>
      <c r="B59" s="67" t="n"/>
      <c r="C59" s="108" t="n"/>
    </row>
    <row r="60">
      <c r="A60" s="102" t="inlineStr">
        <is>
          <t xml:space="preserve">    Legal &amp; CA expenses</t>
        </is>
      </c>
      <c r="B60" s="68" t="n">
        <v>-62150</v>
      </c>
      <c r="C60" s="104" t="n">
        <v>0.01983846129893658</v>
      </c>
    </row>
    <row r="61">
      <c r="A61" s="102" t="inlineStr">
        <is>
          <t xml:space="preserve">    Other Operating Expenses</t>
        </is>
      </c>
      <c r="B61" s="68" t="n">
        <v>-33765.96</v>
      </c>
      <c r="C61" s="104" t="n">
        <v>0.01077819293131843</v>
      </c>
    </row>
    <row r="62">
      <c r="A62" s="90" t="inlineStr">
        <is>
          <t xml:space="preserve">    Banks &amp; Finance Charges</t>
        </is>
      </c>
      <c r="B62" s="68" t="n">
        <v>-11.8</v>
      </c>
      <c r="C62" s="92" t="n">
        <v>3.76659442200244e-06</v>
      </c>
    </row>
    <row r="63">
      <c r="A63" s="64" t="inlineStr">
        <is>
          <t xml:space="preserve">    Salaries (Admin Mgmt)</t>
        </is>
      </c>
      <c r="B63" s="68" t="n">
        <v>-424800</v>
      </c>
      <c r="C63" s="69" t="n">
        <v>0.1355973991920878</v>
      </c>
    </row>
    <row r="64">
      <c r="A64" s="120" t="inlineStr">
        <is>
          <t xml:space="preserve">    Miscellaneous (Travel, insurance)</t>
        </is>
      </c>
      <c r="B64" s="121" t="n">
        <v>-20865</v>
      </c>
      <c r="C64" s="122" t="n">
        <v>0.006660168865684823</v>
      </c>
    </row>
    <row r="65">
      <c r="A65" s="64" t="inlineStr">
        <is>
          <t xml:space="preserve">    Administrative Expenses</t>
        </is>
      </c>
      <c r="B65" s="68" t="n">
        <v>-211596.13</v>
      </c>
      <c r="C65" s="69" t="n">
        <v>0.06754210194705959</v>
      </c>
    </row>
    <row r="66">
      <c r="A66" s="93" t="inlineStr">
        <is>
          <t xml:space="preserve">    Staff Welfare &amp; Events</t>
        </is>
      </c>
      <c r="B66" s="68" t="n">
        <v>-8898</v>
      </c>
      <c r="C66" s="69" t="n">
        <v>0.002840267556523535</v>
      </c>
    </row>
    <row r="67">
      <c r="A67" s="105" t="inlineStr">
        <is>
          <t>TOTAL OPERATING EXPENSES</t>
        </is>
      </c>
      <c r="B67" s="71" t="n">
        <v>-762086.89</v>
      </c>
      <c r="C67" s="106" t="n">
        <v>0.2432603583860328</v>
      </c>
    </row>
    <row r="68">
      <c r="A68" s="90" t="n"/>
      <c r="B68" s="65" t="n"/>
      <c r="C68" s="97" t="n"/>
    </row>
    <row r="69">
      <c r="A69" s="70" t="inlineStr">
        <is>
          <t>EBITDA</t>
        </is>
      </c>
      <c r="B69" s="71" t="n">
        <v>-123857.25</v>
      </c>
      <c r="C69" s="74" t="n">
        <v>-0.03953559550631879</v>
      </c>
    </row>
    <row r="70">
      <c r="A70" s="64" t="n"/>
      <c r="B70" s="65" t="n"/>
      <c r="C70" s="65" t="n"/>
    </row>
    <row r="71">
      <c r="A71" s="142" t="inlineStr">
        <is>
          <t>J. NON-OPERATING (I+D+A+Tax)</t>
        </is>
      </c>
      <c r="B71" s="143" t="n"/>
      <c r="C71" s="143" t="n"/>
    </row>
    <row r="72">
      <c r="A72" t="inlineStr">
        <is>
          <t xml:space="preserve">    Less: Interest Expense</t>
        </is>
      </c>
      <c r="B72" s="78" t="n">
        <v>-63074</v>
      </c>
      <c r="C72" s="79" t="n">
        <v>0.0201334047943544</v>
      </c>
    </row>
    <row r="73">
      <c r="A73" s="70" t="inlineStr">
        <is>
          <t>TOTAL NON-OPERATING</t>
        </is>
      </c>
      <c r="B73" s="71" t="n">
        <v>-63074</v>
      </c>
      <c r="C73" s="74" t="n">
        <v>0.0201334047943544</v>
      </c>
    </row>
    <row r="74">
      <c r="B74" s="62" t="n"/>
      <c r="C74" s="62" t="n"/>
    </row>
    <row r="75">
      <c r="B75" s="62" t="n"/>
      <c r="C75" s="62" t="n"/>
    </row>
    <row r="76">
      <c r="A76" s="70" t="inlineStr">
        <is>
          <t>NET INCOME</t>
        </is>
      </c>
      <c r="B76" s="71" t="n">
        <v>-186931.25</v>
      </c>
      <c r="C76" s="74" t="n">
        <v>-0.05966900030067319</v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0" customWidth="1" style="2" min="1" max="1"/>
    <col width="17" customWidth="1" style="2" min="2" max="2"/>
    <col width="13" customWidth="1" style="2" min="3" max="3"/>
  </cols>
  <sheetData>
    <row r="1" ht="24" customHeight="1" s="2">
      <c r="A1" s="61" t="inlineStr">
        <is>
          <t>Jul 2025 - PROFIT &amp; LOSS STATEMENT</t>
        </is>
      </c>
    </row>
    <row r="2">
      <c r="A2" s="63" t="inlineStr">
        <is>
          <t>Heatronics Pvt Ltd</t>
        </is>
      </c>
    </row>
    <row r="3">
      <c r="A3" s="81" t="inlineStr">
        <is>
          <t>Generated: 24 Jan 2026</t>
        </is>
      </c>
      <c r="B3" s="51" t="n"/>
      <c r="C3" s="51" t="n"/>
    </row>
    <row r="4">
      <c r="A4" s="64" t="n"/>
      <c r="B4" s="65" t="n"/>
      <c r="C4" s="65" t="n"/>
    </row>
    <row r="5">
      <c r="A5" s="83" t="inlineStr">
        <is>
          <t>Revenue Formula: Net Revenue = Gross Revenue - Returns - Discounts - Taxes (GST)</t>
        </is>
      </c>
      <c r="B5" s="65" t="n"/>
      <c r="C5" s="65" t="n"/>
    </row>
    <row r="6">
      <c r="A6" s="64" t="n"/>
      <c r="B6" s="65" t="n"/>
      <c r="C6" s="65" t="n"/>
    </row>
    <row r="7">
      <c r="A7" s="84" t="inlineStr">
        <is>
          <t>Particulars</t>
        </is>
      </c>
      <c r="B7" s="85" t="inlineStr">
        <is>
          <t>Amount (₹)</t>
        </is>
      </c>
      <c r="C7" s="85" t="inlineStr">
        <is>
          <t>% of Revenue</t>
        </is>
      </c>
    </row>
    <row r="8">
      <c r="A8" s="86" t="inlineStr">
        <is>
          <t>A. GROSS REVENUE (from Sales Register, by channel)</t>
        </is>
      </c>
      <c r="B8" s="67" t="n"/>
      <c r="C8" s="67" t="n"/>
    </row>
    <row r="9">
      <c r="A9" s="87" t="inlineStr">
        <is>
          <t xml:space="preserve">    Amazon</t>
        </is>
      </c>
      <c r="B9" s="88" t="n">
        <v>3190013.04</v>
      </c>
      <c r="C9" s="89" t="n">
        <v>0.7399252634468197</v>
      </c>
    </row>
    <row r="10">
      <c r="A10" s="87" t="inlineStr">
        <is>
          <t xml:space="preserve">    Blinkit</t>
        </is>
      </c>
      <c r="B10" s="88" t="n">
        <v>507546</v>
      </c>
      <c r="C10" s="89" t="n">
        <v>0.1177255713542097</v>
      </c>
    </row>
    <row r="11">
      <c r="A11" s="87" t="inlineStr">
        <is>
          <t xml:space="preserve">    OEM</t>
        </is>
      </c>
      <c r="B11" s="88" t="n">
        <v>906570</v>
      </c>
      <c r="C11" s="89" t="n">
        <v>0.2102794056550262</v>
      </c>
    </row>
    <row r="12">
      <c r="A12" s="90" t="inlineStr">
        <is>
          <t xml:space="preserve">    Offline</t>
        </is>
      </c>
      <c r="B12" s="91" t="n">
        <v>233019</v>
      </c>
      <c r="C12" s="92" t="n">
        <v>0.05404888406447219</v>
      </c>
    </row>
    <row r="13">
      <c r="A13" s="70" t="inlineStr">
        <is>
          <t>TOTAL GROSS REVENUE</t>
        </is>
      </c>
      <c r="B13" s="71" t="n">
        <v>4837148.04</v>
      </c>
      <c r="C13" s="72" t="n"/>
    </row>
    <row r="14">
      <c r="A14" s="93" t="inlineStr"/>
      <c r="B14" s="65" t="n"/>
      <c r="C14" s="65" t="n"/>
    </row>
    <row r="15">
      <c r="A15" s="94" t="inlineStr">
        <is>
          <t>B. RETURNS</t>
        </is>
      </c>
      <c r="B15" s="67" t="n"/>
      <c r="C15" s="95" t="n"/>
    </row>
    <row r="16">
      <c r="A16" s="87" t="inlineStr">
        <is>
          <t xml:space="preserve">    Amazon Returns</t>
        </is>
      </c>
      <c r="B16" s="73" t="n">
        <v>-288922.64</v>
      </c>
      <c r="C16" s="89" t="n">
        <v>-0.0670157638345424</v>
      </c>
    </row>
    <row r="17">
      <c r="A17" s="87" t="inlineStr">
        <is>
          <t xml:space="preserve">    Blinkit Returns</t>
        </is>
      </c>
      <c r="B17" s="73" t="n">
        <v>-13738</v>
      </c>
      <c r="C17" s="89" t="n">
        <v>-0.003186536588337084</v>
      </c>
    </row>
    <row r="18">
      <c r="A18" s="112" t="inlineStr">
        <is>
          <t>TOTAL RETURNS</t>
        </is>
      </c>
      <c r="B18" s="71" t="n">
        <v>-302660.64</v>
      </c>
      <c r="C18" s="113" t="n">
        <v>-0.07020230042287949</v>
      </c>
    </row>
    <row r="19">
      <c r="A19" s="64" t="inlineStr"/>
      <c r="B19" s="65" t="n"/>
      <c r="C19" s="65" t="n"/>
    </row>
    <row r="20">
      <c r="A20" s="86" t="inlineStr">
        <is>
          <t>D. TAXES (GST Collected)</t>
        </is>
      </c>
      <c r="B20" s="67" t="n"/>
      <c r="C20" s="67" t="n"/>
    </row>
    <row r="21">
      <c r="A21" s="112" t="inlineStr">
        <is>
          <t>TOTAL TAXES</t>
        </is>
      </c>
      <c r="B21" s="71" t="n">
        <v>-223223.55</v>
      </c>
      <c r="C21" s="113" t="n">
        <v>0.05177682409764831</v>
      </c>
    </row>
    <row r="22">
      <c r="A22" s="64" t="inlineStr"/>
      <c r="B22" s="65" t="n"/>
      <c r="C22" s="65" t="n"/>
    </row>
    <row r="23">
      <c r="A23" s="144" t="inlineStr">
        <is>
          <t>NET REVENUE (external)</t>
        </is>
      </c>
      <c r="B23" s="145" t="n">
        <v>4311263.85</v>
      </c>
      <c r="C23" s="146" t="n">
        <v>1</v>
      </c>
    </row>
    <row r="24">
      <c r="A24" s="64" t="inlineStr"/>
      <c r="B24" s="65" t="n"/>
      <c r="C24" s="65" t="n"/>
    </row>
    <row r="25">
      <c r="A25" s="93" t="inlineStr">
        <is>
          <t>Add: Inter-branch (Internal) Transactions</t>
        </is>
      </c>
      <c r="B25" s="68" t="n">
        <v>1097986</v>
      </c>
      <c r="C25" s="69" t="n">
        <v>0.2546784511924503</v>
      </c>
    </row>
    <row r="26">
      <c r="A26" s="105" t="inlineStr">
        <is>
          <t>TURNOVER (Total — audited basis)</t>
        </is>
      </c>
      <c r="B26" s="71" t="n">
        <v>5409249.85</v>
      </c>
      <c r="C26" s="106" t="n">
        <v>1.25467845119245</v>
      </c>
    </row>
    <row r="27">
      <c r="A27" s="102" t="inlineStr"/>
      <c r="B27" s="65" t="n"/>
      <c r="C27" s="103" t="n"/>
    </row>
    <row r="28">
      <c r="A28" s="107" t="inlineStr">
        <is>
          <t>E. COST OF GOODS MANUFACTURED (COGM)</t>
        </is>
      </c>
      <c r="B28" s="67" t="n"/>
      <c r="C28" s="108" t="n"/>
    </row>
    <row r="29">
      <c r="A29" s="102" t="inlineStr">
        <is>
          <t xml:space="preserve">    Raw Materials &amp; Inventory</t>
        </is>
      </c>
      <c r="B29" s="68" t="n">
        <v>-1596705.77</v>
      </c>
      <c r="C29" s="104" t="n">
        <v>0.3703567736871405</v>
      </c>
    </row>
    <row r="30">
      <c r="A30" s="102" t="inlineStr">
        <is>
          <t xml:space="preserve">    Consumables</t>
        </is>
      </c>
      <c r="B30" s="68" t="n">
        <v>-1200</v>
      </c>
      <c r="C30" s="104" t="n">
        <v>0.0002783406540984496</v>
      </c>
    </row>
    <row r="31">
      <c r="A31" s="90" t="inlineStr">
        <is>
          <t xml:space="preserve">    Factory Maintenance</t>
        </is>
      </c>
      <c r="B31" s="68" t="n">
        <v>-36773</v>
      </c>
      <c r="C31" s="92" t="n">
        <v>0.008529517394301906</v>
      </c>
    </row>
    <row r="32">
      <c r="A32" s="64" t="inlineStr">
        <is>
          <t xml:space="preserve">    Inbound Transport</t>
        </is>
      </c>
      <c r="B32" s="68" t="n">
        <v>-33258.73</v>
      </c>
      <c r="C32" s="69" t="n">
        <v>0.007714380552236441</v>
      </c>
    </row>
    <row r="33">
      <c r="A33" s="109" t="inlineStr">
        <is>
          <t xml:space="preserve">    Job work</t>
        </is>
      </c>
      <c r="B33" s="110" t="n">
        <v>-71673</v>
      </c>
      <c r="C33" s="111" t="n">
        <v>0.01662459141766515</v>
      </c>
    </row>
    <row r="34">
      <c r="A34" s="70" t="inlineStr">
        <is>
          <t>TOTAL COGM</t>
        </is>
      </c>
      <c r="B34" s="71" t="n">
        <v>-142904.73</v>
      </c>
      <c r="C34" s="74" t="n">
        <v>0.03314683001830195</v>
      </c>
    </row>
    <row r="35">
      <c r="A35" s="93" t="n"/>
      <c r="B35" s="65" t="n"/>
      <c r="C35" s="65" t="n"/>
    </row>
    <row r="36">
      <c r="A36" s="105" t="inlineStr">
        <is>
          <t>GROSS MARGIN</t>
        </is>
      </c>
      <c r="B36" s="71" t="n">
        <v>2571653.35</v>
      </c>
      <c r="C36" s="106" t="n">
        <v>0.5964963962945576</v>
      </c>
    </row>
    <row r="37">
      <c r="A37" s="102" t="n"/>
      <c r="B37" s="65" t="n"/>
      <c r="C37" s="103" t="n"/>
    </row>
    <row r="38">
      <c r="A38" s="125" t="inlineStr">
        <is>
          <t>F. CHANNEL &amp; FULFILLMENT</t>
        </is>
      </c>
      <c r="B38" s="67" t="n"/>
      <c r="C38" s="126" t="n"/>
    </row>
    <row r="39">
      <c r="A39" s="64" t="inlineStr">
        <is>
          <t xml:space="preserve">    Amazon Fees</t>
        </is>
      </c>
      <c r="B39" s="68" t="n">
        <v>-739648.9300000001</v>
      </c>
      <c r="C39" s="69" t="n">
        <v>0.1715619724828487</v>
      </c>
    </row>
    <row r="40">
      <c r="A40" s="129" t="inlineStr">
        <is>
          <t xml:space="preserve">    D2C Fees</t>
        </is>
      </c>
      <c r="B40" s="130" t="n">
        <v>-39876</v>
      </c>
      <c r="C40" s="131" t="n">
        <v>0.00924925993569148</v>
      </c>
    </row>
    <row r="41">
      <c r="A41" s="70" t="inlineStr">
        <is>
          <t>TOTAL CHANNEL &amp; FULFILLMENT</t>
        </is>
      </c>
      <c r="B41" s="71" t="n">
        <v>-779524.9300000001</v>
      </c>
      <c r="C41" s="74" t="n">
        <v>0.1808112324185401</v>
      </c>
    </row>
    <row r="42">
      <c r="A42" s="93" t="n"/>
      <c r="B42" s="65" t="n"/>
      <c r="C42" s="65" t="n"/>
    </row>
    <row r="43">
      <c r="A43" s="105" t="inlineStr">
        <is>
          <t>CM1 (Contribution Margin 1)</t>
        </is>
      </c>
      <c r="B43" s="71" t="n">
        <v>1792128.42</v>
      </c>
      <c r="C43" s="106" t="n">
        <v>0.4156851638760175</v>
      </c>
    </row>
    <row r="44">
      <c r="A44" s="90" t="n"/>
      <c r="B44" s="65" t="n"/>
      <c r="C44" s="97" t="n"/>
    </row>
    <row r="45">
      <c r="A45" s="54" t="inlineStr">
        <is>
          <t>G. SALES &amp; MARKETING</t>
        </is>
      </c>
      <c r="B45" s="67" t="n"/>
      <c r="C45" s="67" t="n"/>
    </row>
    <row r="46">
      <c r="A46" s="116" t="inlineStr">
        <is>
          <t xml:space="preserve">    Advertising &amp; Marketing</t>
        </is>
      </c>
      <c r="B46" s="147" t="n">
        <v>-798072.33</v>
      </c>
      <c r="C46" s="148" t="n">
        <v>0.1851133119583948</v>
      </c>
    </row>
    <row r="47">
      <c r="A47" s="70" t="inlineStr">
        <is>
          <t>TOTAL SALES &amp; MARKETING</t>
        </is>
      </c>
      <c r="B47" s="71" t="n">
        <v>-798072.33</v>
      </c>
      <c r="C47" s="74" t="n">
        <v>0.1851133119583948</v>
      </c>
    </row>
    <row r="48">
      <c r="A48" s="93" t="n"/>
      <c r="B48" s="65" t="n"/>
      <c r="C48" s="65" t="n"/>
    </row>
    <row r="49">
      <c r="A49" s="105" t="inlineStr">
        <is>
          <t>CM2 (Contribution Margin 2)</t>
        </is>
      </c>
      <c r="B49" s="71" t="n">
        <v>994056.09</v>
      </c>
      <c r="C49" s="106" t="n">
        <v>0.2305718519176227</v>
      </c>
    </row>
    <row r="50">
      <c r="A50" s="90" t="n"/>
      <c r="B50" s="65" t="n"/>
      <c r="C50" s="97" t="n"/>
    </row>
    <row r="51">
      <c r="A51" s="54" t="inlineStr">
        <is>
          <t>H. PLATFORM COSTS</t>
        </is>
      </c>
      <c r="B51" s="67" t="n"/>
      <c r="C51" s="67" t="n"/>
    </row>
    <row r="52">
      <c r="A52" s="140" t="inlineStr">
        <is>
          <t xml:space="preserve">    Shopify Subscription</t>
        </is>
      </c>
      <c r="B52" s="149" t="n">
        <v>-147.1</v>
      </c>
      <c r="C52" s="150" t="n">
        <v>3.411992518156828e-05</v>
      </c>
    </row>
    <row r="53">
      <c r="A53" s="70" t="inlineStr">
        <is>
          <t>TOTAL PLATFORM COSTS</t>
        </is>
      </c>
      <c r="B53" s="71" t="n">
        <v>-147.1</v>
      </c>
      <c r="C53" s="74" t="n">
        <v>3.411992518156828e-05</v>
      </c>
    </row>
    <row r="54">
      <c r="A54" s="93" t="n"/>
      <c r="B54" s="65" t="n"/>
      <c r="C54" s="65" t="n"/>
    </row>
    <row r="55">
      <c r="A55" s="105" t="inlineStr">
        <is>
          <t>CM3 (Contribution Margin 3)</t>
        </is>
      </c>
      <c r="B55" s="71" t="n">
        <v>993908.99</v>
      </c>
      <c r="C55" s="106" t="n">
        <v>0.2305377319924412</v>
      </c>
    </row>
    <row r="56">
      <c r="A56" s="102" t="n"/>
      <c r="B56" s="65" t="n"/>
      <c r="C56" s="103" t="n"/>
    </row>
    <row r="57">
      <c r="A57" s="107" t="inlineStr">
        <is>
          <t>I. OPERATING EXPENSES</t>
        </is>
      </c>
      <c r="B57" s="67" t="n"/>
      <c r="C57" s="108" t="n"/>
    </row>
    <row r="58">
      <c r="A58" s="102" t="inlineStr">
        <is>
          <t xml:space="preserve">    Legal &amp; CA expenses</t>
        </is>
      </c>
      <c r="B58" s="68" t="n">
        <v>-67250</v>
      </c>
      <c r="C58" s="104" t="n">
        <v>0.01559867415676728</v>
      </c>
    </row>
    <row r="59">
      <c r="A59" s="102" t="inlineStr">
        <is>
          <t xml:space="preserve">    Other Operating Expenses</t>
        </is>
      </c>
      <c r="B59" s="68" t="n">
        <v>-68114.13</v>
      </c>
      <c r="C59" s="104" t="n">
        <v>0.01579910958128903</v>
      </c>
    </row>
    <row r="60">
      <c r="A60" s="102" t="inlineStr">
        <is>
          <t xml:space="preserve">    Banks &amp; Finance Charges</t>
        </is>
      </c>
      <c r="B60" s="68" t="n">
        <v>-2611.94</v>
      </c>
      <c r="C60" s="104" t="n">
        <v>0.0006058409067215871</v>
      </c>
    </row>
    <row r="61">
      <c r="A61" s="102" t="inlineStr">
        <is>
          <t xml:space="preserve">    Salaries (Admin Mgmt)</t>
        </is>
      </c>
      <c r="B61" s="68" t="n">
        <v>-374803</v>
      </c>
      <c r="C61" s="104" t="n">
        <v>0.08693576014838433</v>
      </c>
    </row>
    <row r="62">
      <c r="A62" s="90" t="inlineStr">
        <is>
          <t xml:space="preserve">    Administrative Expenses</t>
        </is>
      </c>
      <c r="B62" s="68" t="n">
        <v>-321155.78</v>
      </c>
      <c r="C62" s="92" t="n">
        <v>0.07449225822724816</v>
      </c>
    </row>
    <row r="63">
      <c r="A63" s="64" t="inlineStr">
        <is>
          <t xml:space="preserve">    Staff Welfare &amp; Events</t>
        </is>
      </c>
      <c r="B63" s="68" t="n">
        <v>-3312</v>
      </c>
      <c r="C63" s="69" t="n">
        <v>0.0007682202053117209</v>
      </c>
    </row>
    <row r="64">
      <c r="A64" s="120" t="inlineStr">
        <is>
          <t xml:space="preserve">    Miscellaneous (Travel, insurance)</t>
        </is>
      </c>
      <c r="B64" s="121" t="n">
        <v>-13562</v>
      </c>
      <c r="C64" s="122" t="n">
        <v>0.003145713292402645</v>
      </c>
    </row>
    <row r="65">
      <c r="A65" s="70" t="inlineStr">
        <is>
          <t>TOTAL OPERATING EXPENSES</t>
        </is>
      </c>
      <c r="B65" s="71" t="n">
        <v>-850808.85</v>
      </c>
      <c r="C65" s="74" t="n">
        <v>0.1973455765181247</v>
      </c>
    </row>
    <row r="66">
      <c r="A66" s="93" t="n"/>
      <c r="B66" s="65" t="n"/>
      <c r="C66" s="65" t="n"/>
    </row>
    <row r="67">
      <c r="A67" s="105" t="inlineStr">
        <is>
          <t>EBITDA</t>
        </is>
      </c>
      <c r="B67" s="71" t="n">
        <v>143100.14</v>
      </c>
      <c r="C67" s="106" t="n">
        <v>0.03319215547431643</v>
      </c>
    </row>
    <row r="68">
      <c r="A68" s="90" t="n"/>
      <c r="B68" s="65" t="n"/>
      <c r="C68" s="97" t="n"/>
    </row>
    <row r="69">
      <c r="A69" s="54" t="inlineStr">
        <is>
          <t>J. NON-OPERATING (I+D+A+Tax)</t>
        </is>
      </c>
      <c r="B69" s="67" t="n"/>
      <c r="C69" s="67" t="n"/>
    </row>
    <row r="70">
      <c r="A70" s="64" t="inlineStr">
        <is>
          <t xml:space="preserve">    Less: Interest Expense</t>
        </is>
      </c>
      <c r="B70" s="68" t="n">
        <v>-64859</v>
      </c>
      <c r="C70" s="69" t="n">
        <v>0.01504408040347612</v>
      </c>
    </row>
    <row r="71">
      <c r="A71" s="151" t="inlineStr">
        <is>
          <t>TOTAL NON-OPERATING</t>
        </is>
      </c>
      <c r="B71" s="152" t="n">
        <v>-64859</v>
      </c>
      <c r="C71" s="153" t="n">
        <v>0.01504408040347612</v>
      </c>
    </row>
    <row r="72">
      <c r="B72" s="62" t="n"/>
      <c r="C72" s="62" t="n"/>
    </row>
    <row r="73">
      <c r="B73" s="62" t="n"/>
      <c r="C73" s="62" t="n"/>
    </row>
    <row r="74">
      <c r="A74" s="70" t="inlineStr">
        <is>
          <t>NET INCOME</t>
        </is>
      </c>
      <c r="B74" s="71" t="n">
        <v>78241.14</v>
      </c>
      <c r="C74" s="74" t="n">
        <v>0.01814807507084031</v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0" customWidth="1" style="2" min="1" max="1"/>
    <col width="17" customWidth="1" style="2" min="2" max="2"/>
    <col width="13" customWidth="1" style="2" min="3" max="3"/>
  </cols>
  <sheetData>
    <row r="1" ht="24" customHeight="1" s="2">
      <c r="A1" s="61" t="inlineStr">
        <is>
          <t>Jun 2025 - PROFIT &amp; LOSS STATEMENT</t>
        </is>
      </c>
    </row>
    <row r="2">
      <c r="A2" s="63" t="inlineStr">
        <is>
          <t>Heatronics Pvt Ltd</t>
        </is>
      </c>
    </row>
    <row r="3">
      <c r="A3" s="81" t="inlineStr">
        <is>
          <t>Generated: 24 Jan 2026</t>
        </is>
      </c>
      <c r="B3" s="51" t="n"/>
      <c r="C3" s="51" t="n"/>
    </row>
    <row r="4">
      <c r="A4" s="64" t="n"/>
      <c r="B4" s="65" t="n"/>
      <c r="C4" s="65" t="n"/>
    </row>
    <row r="5">
      <c r="A5" s="83" t="inlineStr">
        <is>
          <t>Revenue Formula: Net Revenue = Gross Revenue - Returns - Discounts - Taxes (GST)</t>
        </is>
      </c>
      <c r="B5" s="65" t="n"/>
      <c r="C5" s="65" t="n"/>
    </row>
    <row r="6">
      <c r="A6" s="64" t="n"/>
      <c r="B6" s="65" t="n"/>
      <c r="C6" s="65" t="n"/>
    </row>
    <row r="7">
      <c r="A7" s="84" t="inlineStr">
        <is>
          <t>Particulars</t>
        </is>
      </c>
      <c r="B7" s="85" t="inlineStr">
        <is>
          <t>Amount (₹)</t>
        </is>
      </c>
      <c r="C7" s="85" t="inlineStr">
        <is>
          <t>% of Revenue</t>
        </is>
      </c>
    </row>
    <row r="8">
      <c r="A8" s="86" t="inlineStr">
        <is>
          <t>A. GROSS REVENUE (from Sales Register, by channel)</t>
        </is>
      </c>
      <c r="B8" s="67" t="n"/>
      <c r="C8" s="67" t="n"/>
    </row>
    <row r="9">
      <c r="A9" s="87" t="inlineStr">
        <is>
          <t xml:space="preserve">    Amazon</t>
        </is>
      </c>
      <c r="B9" s="88" t="n">
        <v>1985134.48</v>
      </c>
      <c r="C9" s="89" t="n">
        <v>0.7021745747084076</v>
      </c>
    </row>
    <row r="10">
      <c r="A10" s="87" t="inlineStr">
        <is>
          <t xml:space="preserve">    Blinkit</t>
        </is>
      </c>
      <c r="B10" s="88" t="n">
        <v>295489</v>
      </c>
      <c r="C10" s="89" t="n">
        <v>0.1045192983127333</v>
      </c>
    </row>
    <row r="11">
      <c r="A11" s="87" t="inlineStr">
        <is>
          <t xml:space="preserve">    OEM</t>
        </is>
      </c>
      <c r="B11" s="88" t="n">
        <v>559448</v>
      </c>
      <c r="C11" s="89" t="n">
        <v>0.1978859192811306</v>
      </c>
    </row>
    <row r="12">
      <c r="A12" s="90" t="inlineStr">
        <is>
          <t xml:space="preserve">    Offline</t>
        </is>
      </c>
      <c r="B12" s="91" t="n">
        <v>305027</v>
      </c>
      <c r="C12" s="92" t="n">
        <v>0.1078930451097607</v>
      </c>
    </row>
    <row r="13">
      <c r="A13" s="70" t="inlineStr">
        <is>
          <t>TOTAL GROSS REVENUE</t>
        </is>
      </c>
      <c r="B13" s="71" t="n">
        <v>3145098.48</v>
      </c>
      <c r="C13" s="72" t="n"/>
    </row>
    <row r="14">
      <c r="A14" s="93" t="inlineStr"/>
      <c r="B14" s="65" t="n"/>
      <c r="C14" s="65" t="n"/>
    </row>
    <row r="15">
      <c r="A15" s="94" t="inlineStr">
        <is>
          <t>B. RETURNS</t>
        </is>
      </c>
      <c r="B15" s="67" t="n"/>
      <c r="C15" s="95" t="n"/>
    </row>
    <row r="16">
      <c r="A16" s="87" t="inlineStr">
        <is>
          <t xml:space="preserve">    Amazon Returns</t>
        </is>
      </c>
      <c r="B16" s="73" t="n">
        <v>-168607.9</v>
      </c>
      <c r="C16" s="89" t="n">
        <v>-0.05963937540139735</v>
      </c>
    </row>
    <row r="17">
      <c r="A17" s="87" t="inlineStr">
        <is>
          <t xml:space="preserve">    Blinkit Returns</t>
        </is>
      </c>
      <c r="B17" s="73" t="n">
        <v>-6429</v>
      </c>
      <c r="C17" s="89" t="n">
        <v>-0.002274042583150514</v>
      </c>
    </row>
    <row r="18">
      <c r="A18" s="112" t="inlineStr">
        <is>
          <t>TOTAL RETURNS</t>
        </is>
      </c>
      <c r="B18" s="71" t="n">
        <v>-175036.9</v>
      </c>
      <c r="C18" s="113" t="n">
        <v>-0.06191341798454786</v>
      </c>
    </row>
    <row r="19">
      <c r="A19" s="64" t="inlineStr"/>
      <c r="B19" s="65" t="n"/>
      <c r="C19" s="65" t="n"/>
    </row>
    <row r="20">
      <c r="A20" s="86" t="inlineStr">
        <is>
          <t>D. TAXES (GST Collected)</t>
        </is>
      </c>
      <c r="B20" s="67" t="n"/>
      <c r="C20" s="67" t="n"/>
    </row>
    <row r="21">
      <c r="A21" s="112" t="inlineStr">
        <is>
          <t>TOTAL TAXES</t>
        </is>
      </c>
      <c r="B21" s="71" t="n">
        <v>-142937.74</v>
      </c>
      <c r="C21" s="113" t="n">
        <v>0.05055941942748429</v>
      </c>
    </row>
    <row r="22">
      <c r="A22" s="64" t="inlineStr"/>
      <c r="B22" s="65" t="n"/>
      <c r="C22" s="65" t="n"/>
    </row>
    <row r="23">
      <c r="A23" s="144" t="inlineStr">
        <is>
          <t>NET REVENUE (external)</t>
        </is>
      </c>
      <c r="B23" s="145" t="n">
        <v>2827123.84</v>
      </c>
      <c r="C23" s="146" t="n">
        <v>1</v>
      </c>
    </row>
    <row r="24">
      <c r="A24" s="64" t="inlineStr"/>
      <c r="B24" s="65" t="n"/>
      <c r="C24" s="65" t="n"/>
    </row>
    <row r="25">
      <c r="A25" s="93" t="inlineStr">
        <is>
          <t>Add: Inter-branch (Internal) Transactions</t>
        </is>
      </c>
      <c r="B25" s="68" t="n">
        <v>1226143</v>
      </c>
      <c r="C25" s="69" t="n">
        <v>0.4337068587699363</v>
      </c>
    </row>
    <row r="26">
      <c r="A26" s="105" t="inlineStr">
        <is>
          <t>TURNOVER (Total — audited basis)</t>
        </is>
      </c>
      <c r="B26" s="71" t="n">
        <v>4053266.84</v>
      </c>
      <c r="C26" s="106" t="n">
        <v>1.433706858769936</v>
      </c>
    </row>
    <row r="27">
      <c r="A27" s="102" t="inlineStr"/>
      <c r="B27" s="65" t="n"/>
      <c r="C27" s="103" t="n"/>
    </row>
    <row r="28">
      <c r="A28" s="107" t="inlineStr">
        <is>
          <t>E. COST OF GOODS MANUFACTURED (COGM)</t>
        </is>
      </c>
      <c r="B28" s="67" t="n"/>
      <c r="C28" s="108" t="n"/>
    </row>
    <row r="29">
      <c r="A29" s="102" t="inlineStr">
        <is>
          <t xml:space="preserve">    Raw Materials &amp; Inventory</t>
        </is>
      </c>
      <c r="B29" s="68" t="n">
        <v>-1047044.46</v>
      </c>
      <c r="C29" s="104" t="n">
        <v>0.3703567722028052</v>
      </c>
    </row>
    <row r="30">
      <c r="A30" s="102" t="inlineStr">
        <is>
          <t xml:space="preserve">    Consumables</t>
        </is>
      </c>
      <c r="B30" s="68" t="n">
        <v>-5325</v>
      </c>
      <c r="C30" s="104" t="n">
        <v>0.001883539703729427</v>
      </c>
    </row>
    <row r="31">
      <c r="A31" s="102" t="inlineStr">
        <is>
          <t xml:space="preserve">    Factory Maintenance</t>
        </is>
      </c>
      <c r="B31" s="68" t="n">
        <v>-35790</v>
      </c>
      <c r="C31" s="104" t="n">
        <v>0.01265950910731947</v>
      </c>
    </row>
    <row r="32">
      <c r="A32" s="90" t="inlineStr">
        <is>
          <t xml:space="preserve">    Inbound Transport</t>
        </is>
      </c>
      <c r="B32" s="68" t="n">
        <v>-4651</v>
      </c>
      <c r="C32" s="92" t="n">
        <v>0.001645134866111843</v>
      </c>
    </row>
    <row r="33">
      <c r="A33" s="64" t="inlineStr">
        <is>
          <t xml:space="preserve">    Job work</t>
        </is>
      </c>
      <c r="B33" s="68" t="n">
        <v>-49902</v>
      </c>
      <c r="C33" s="69" t="n">
        <v>0.01765115460948467</v>
      </c>
    </row>
    <row r="34">
      <c r="A34" s="109" t="inlineStr">
        <is>
          <t xml:space="preserve">    Manufacturing Wages</t>
        </is>
      </c>
      <c r="B34" s="110" t="n">
        <v>-10000</v>
      </c>
      <c r="C34" s="111" t="n">
        <v>0.003537163762872164</v>
      </c>
    </row>
    <row r="35">
      <c r="A35" s="70" t="inlineStr">
        <is>
          <t>TOTAL COGM</t>
        </is>
      </c>
      <c r="B35" s="71" t="n">
        <v>-105668</v>
      </c>
      <c r="C35" s="74" t="n">
        <v>0.03737650204951758</v>
      </c>
    </row>
    <row r="36">
      <c r="A36" s="93" t="n"/>
      <c r="B36" s="65" t="n"/>
      <c r="C36" s="65" t="n"/>
    </row>
    <row r="37">
      <c r="A37" s="105" t="inlineStr">
        <is>
          <t>GROSS MARGIN</t>
        </is>
      </c>
      <c r="B37" s="71" t="n">
        <v>1674411.38</v>
      </c>
      <c r="C37" s="106" t="n">
        <v>0.5922667257476771</v>
      </c>
    </row>
    <row r="38">
      <c r="A38" s="102" t="n"/>
      <c r="B38" s="65" t="n"/>
      <c r="C38" s="103" t="n"/>
    </row>
    <row r="39">
      <c r="A39" s="125" t="inlineStr">
        <is>
          <t>F. CHANNEL &amp; FULFILLMENT</t>
        </is>
      </c>
      <c r="B39" s="67" t="n"/>
      <c r="C39" s="126" t="n"/>
    </row>
    <row r="40">
      <c r="A40" s="64" t="inlineStr">
        <is>
          <t xml:space="preserve">    Amazon Fees</t>
        </is>
      </c>
      <c r="B40" s="68" t="n">
        <v>-619928.88</v>
      </c>
      <c r="C40" s="69" t="n">
        <v>0.2192789969893926</v>
      </c>
    </row>
    <row r="41">
      <c r="A41" s="129" t="inlineStr">
        <is>
          <t xml:space="preserve">    D2C Fees</t>
        </is>
      </c>
      <c r="B41" s="130" t="n">
        <v>-28074.76</v>
      </c>
      <c r="C41" s="131" t="n">
        <v>0.00993050237233329</v>
      </c>
    </row>
    <row r="42">
      <c r="A42" s="70" t="inlineStr">
        <is>
          <t>TOTAL CHANNEL &amp; FULFILLMENT</t>
        </is>
      </c>
      <c r="B42" s="71" t="n">
        <v>-648003.64</v>
      </c>
      <c r="C42" s="74" t="n">
        <v>0.2292094993617259</v>
      </c>
    </row>
    <row r="43">
      <c r="A43" s="93" t="n"/>
      <c r="B43" s="65" t="n"/>
      <c r="C43" s="65" t="n"/>
    </row>
    <row r="44">
      <c r="A44" s="105" t="inlineStr">
        <is>
          <t>CM1 (Contribution Margin 1)</t>
        </is>
      </c>
      <c r="B44" s="71" t="n">
        <v>1026407.74</v>
      </c>
      <c r="C44" s="106" t="n">
        <v>0.3630572263859513</v>
      </c>
    </row>
    <row r="45">
      <c r="A45" s="90" t="n"/>
      <c r="B45" s="65" t="n"/>
      <c r="C45" s="97" t="n"/>
    </row>
    <row r="46">
      <c r="A46" s="54" t="inlineStr">
        <is>
          <t>G. SALES &amp; MARKETING</t>
        </is>
      </c>
      <c r="B46" s="67" t="n"/>
      <c r="C46" s="67" t="n"/>
    </row>
    <row r="47">
      <c r="A47" s="116" t="inlineStr">
        <is>
          <t xml:space="preserve">    Advertising &amp; Marketing</t>
        </is>
      </c>
      <c r="B47" s="147" t="n">
        <v>-488527.37</v>
      </c>
      <c r="C47" s="148" t="n">
        <v>0.1728001310335242</v>
      </c>
    </row>
    <row r="48">
      <c r="A48" s="70" t="inlineStr">
        <is>
          <t>TOTAL SALES &amp; MARKETING</t>
        </is>
      </c>
      <c r="B48" s="71" t="n">
        <v>-488527.37</v>
      </c>
      <c r="C48" s="74" t="n">
        <v>0.1728001310335242</v>
      </c>
    </row>
    <row r="49">
      <c r="A49" s="93" t="n"/>
      <c r="B49" s="65" t="n"/>
      <c r="C49" s="65" t="n"/>
    </row>
    <row r="50">
      <c r="A50" s="105" t="inlineStr">
        <is>
          <t>CM2 (Contribution Margin 2)</t>
        </is>
      </c>
      <c r="B50" s="71" t="n">
        <v>537880.37</v>
      </c>
      <c r="C50" s="106" t="n">
        <v>0.1902570953524272</v>
      </c>
    </row>
    <row r="51">
      <c r="A51" s="90" t="n"/>
      <c r="B51" s="65" t="n"/>
      <c r="C51" s="97" t="n"/>
    </row>
    <row r="52">
      <c r="A52" s="54" t="inlineStr">
        <is>
          <t>H. PLATFORM COSTS</t>
        </is>
      </c>
      <c r="B52" s="67" t="n"/>
      <c r="C52" s="67" t="n"/>
    </row>
    <row r="53">
      <c r="A53" s="140" t="inlineStr">
        <is>
          <t xml:space="preserve">    Shopify Subscription</t>
        </is>
      </c>
      <c r="B53" s="149" t="n">
        <v>-6882.69</v>
      </c>
      <c r="C53" s="150" t="n">
        <v>0.002434520165908261</v>
      </c>
    </row>
    <row r="54">
      <c r="A54" s="70" t="inlineStr">
        <is>
          <t>TOTAL PLATFORM COSTS</t>
        </is>
      </c>
      <c r="B54" s="71" t="n">
        <v>-6882.69</v>
      </c>
      <c r="C54" s="74" t="n">
        <v>0.002434520165908261</v>
      </c>
    </row>
    <row r="55">
      <c r="A55" s="93" t="n"/>
      <c r="B55" s="65" t="n"/>
      <c r="C55" s="65" t="n"/>
    </row>
    <row r="56">
      <c r="A56" s="105" t="inlineStr">
        <is>
          <t>CM3 (Contribution Margin 3)</t>
        </is>
      </c>
      <c r="B56" s="71" t="n">
        <v>530997.6800000001</v>
      </c>
      <c r="C56" s="106" t="n">
        <v>0.1878225751865189</v>
      </c>
    </row>
    <row r="57">
      <c r="A57" s="102" t="n"/>
      <c r="B57" s="65" t="n"/>
      <c r="C57" s="103" t="n"/>
    </row>
    <row r="58">
      <c r="A58" s="107" t="inlineStr">
        <is>
          <t>I. OPERATING EXPENSES</t>
        </is>
      </c>
      <c r="B58" s="67" t="n"/>
      <c r="C58" s="108" t="n"/>
    </row>
    <row r="59">
      <c r="A59" s="102" t="inlineStr">
        <is>
          <t xml:space="preserve">    Legal &amp; CA expenses</t>
        </is>
      </c>
      <c r="B59" s="68" t="n">
        <v>-49000</v>
      </c>
      <c r="C59" s="104" t="n">
        <v>0.0173321024380736</v>
      </c>
    </row>
    <row r="60">
      <c r="A60" s="102" t="inlineStr">
        <is>
          <t xml:space="preserve">    Other Operating Expenses</t>
        </is>
      </c>
      <c r="B60" s="68" t="n">
        <v>-57922.59</v>
      </c>
      <c r="C60" s="104" t="n">
        <v>0.02048816863997015</v>
      </c>
    </row>
    <row r="61">
      <c r="A61" s="102" t="inlineStr">
        <is>
          <t xml:space="preserve">    Banks &amp; Finance Charges</t>
        </is>
      </c>
      <c r="B61" s="68" t="n">
        <v>-204</v>
      </c>
      <c r="C61" s="104" t="n">
        <v>7.215814076259214e-05</v>
      </c>
    </row>
    <row r="62">
      <c r="A62" s="102" t="inlineStr">
        <is>
          <t xml:space="preserve">    Salaries (Admin Mgmt)</t>
        </is>
      </c>
      <c r="B62" s="68" t="n">
        <v>-353455</v>
      </c>
      <c r="C62" s="104" t="n">
        <v>0.1250228217805981</v>
      </c>
    </row>
    <row r="63">
      <c r="A63" s="90" t="inlineStr">
        <is>
          <t xml:space="preserve">    Miscellaneous (Travel, insurance)</t>
        </is>
      </c>
      <c r="B63" s="68" t="n">
        <v>-37810</v>
      </c>
      <c r="C63" s="92" t="n">
        <v>0.01337401618741965</v>
      </c>
    </row>
    <row r="64">
      <c r="A64" s="64" t="inlineStr">
        <is>
          <t xml:space="preserve">    Administrative Expenses</t>
        </is>
      </c>
      <c r="B64" s="68" t="n">
        <v>-176630.47</v>
      </c>
      <c r="C64" s="69" t="n">
        <v>0.06247708979030788</v>
      </c>
    </row>
    <row r="65">
      <c r="A65" s="120" t="inlineStr">
        <is>
          <t xml:space="preserve">    Staff Welfare &amp; Events</t>
        </is>
      </c>
      <c r="B65" s="121" t="n">
        <v>-1490</v>
      </c>
      <c r="C65" s="122" t="n">
        <v>0.0005270374006679523</v>
      </c>
    </row>
    <row r="66">
      <c r="A66" s="70" t="inlineStr">
        <is>
          <t>TOTAL OPERATING EXPENSES</t>
        </is>
      </c>
      <c r="B66" s="71" t="n">
        <v>-676512.0600000001</v>
      </c>
      <c r="C66" s="74" t="n">
        <v>0.2392933943777999</v>
      </c>
    </row>
    <row r="67">
      <c r="A67" s="93" t="n"/>
      <c r="B67" s="65" t="n"/>
      <c r="C67" s="65" t="n"/>
    </row>
    <row r="68">
      <c r="A68" s="105" t="inlineStr">
        <is>
          <t>EBITDA</t>
        </is>
      </c>
      <c r="B68" s="71" t="n">
        <v>-145514.38</v>
      </c>
      <c r="C68" s="106" t="n">
        <v>-0.05147081919128099</v>
      </c>
    </row>
    <row r="69">
      <c r="A69" s="90" t="n"/>
      <c r="B69" s="65" t="n"/>
      <c r="C69" s="97" t="n"/>
    </row>
    <row r="70">
      <c r="A70" s="54" t="inlineStr">
        <is>
          <t>J. NON-OPERATING (I+D+A+Tax)</t>
        </is>
      </c>
      <c r="B70" s="67" t="n"/>
      <c r="C70" s="67" t="n"/>
    </row>
    <row r="71">
      <c r="A71" s="64" t="inlineStr">
        <is>
          <t xml:space="preserve">    Less: Interest Expense</t>
        </is>
      </c>
      <c r="B71" s="68" t="n">
        <v>-62589</v>
      </c>
      <c r="C71" s="69" t="n">
        <v>0.02213875427544058</v>
      </c>
    </row>
    <row r="72">
      <c r="A72" s="154" t="inlineStr">
        <is>
          <t>TOTAL NON-OPERATING</t>
        </is>
      </c>
      <c r="B72" s="155" t="n">
        <v>-62589</v>
      </c>
      <c r="C72" s="156" t="n">
        <v>0.02213875427544058</v>
      </c>
    </row>
    <row r="73">
      <c r="B73" s="62" t="n"/>
      <c r="C73" s="62" t="n"/>
    </row>
    <row r="74">
      <c r="B74" s="62" t="n"/>
      <c r="C74" s="62" t="n"/>
    </row>
    <row r="75">
      <c r="A75" s="70" t="inlineStr">
        <is>
          <t>NET INCOME</t>
        </is>
      </c>
      <c r="B75" s="71" t="n">
        <v>-208103.38</v>
      </c>
      <c r="C75" s="74" t="n">
        <v>-0.07360957346672158</v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0" customWidth="1" style="2" min="1" max="1"/>
    <col width="17" customWidth="1" style="2" min="2" max="2"/>
    <col width="13" customWidth="1" style="2" min="3" max="3"/>
  </cols>
  <sheetData>
    <row r="1" ht="24" customHeight="1" s="2">
      <c r="A1" s="61" t="inlineStr">
        <is>
          <t>May 2025 - PROFIT &amp; LOSS STATEMENT</t>
        </is>
      </c>
    </row>
    <row r="2">
      <c r="A2" s="63" t="inlineStr">
        <is>
          <t>Heatronics Pvt Ltd</t>
        </is>
      </c>
    </row>
    <row r="3">
      <c r="A3" s="81" t="inlineStr">
        <is>
          <t>Generated: 24 Jan 2026</t>
        </is>
      </c>
      <c r="B3" s="51" t="n"/>
      <c r="C3" s="51" t="n"/>
    </row>
    <row r="4">
      <c r="A4" s="64" t="n"/>
      <c r="B4" s="65" t="n"/>
      <c r="C4" s="65" t="n"/>
    </row>
    <row r="5">
      <c r="A5" s="83" t="inlineStr">
        <is>
          <t>Revenue Formula: Net Revenue = Gross Revenue - Returns - Discounts - Taxes (GST)</t>
        </is>
      </c>
      <c r="B5" s="65" t="n"/>
      <c r="C5" s="65" t="n"/>
    </row>
    <row r="6">
      <c r="A6" s="64" t="n"/>
      <c r="B6" s="65" t="n"/>
      <c r="C6" s="65" t="n"/>
    </row>
    <row r="7">
      <c r="A7" s="84" t="inlineStr">
        <is>
          <t>Particulars</t>
        </is>
      </c>
      <c r="B7" s="85" t="inlineStr">
        <is>
          <t>Amount (₹)</t>
        </is>
      </c>
      <c r="C7" s="85" t="inlineStr">
        <is>
          <t>% of Revenue</t>
        </is>
      </c>
    </row>
    <row r="8">
      <c r="A8" s="86" t="inlineStr">
        <is>
          <t>A. GROSS REVENUE (from Sales Register, by channel)</t>
        </is>
      </c>
      <c r="B8" s="67" t="n"/>
      <c r="C8" s="67" t="n"/>
    </row>
    <row r="9">
      <c r="A9" s="87" t="inlineStr">
        <is>
          <t xml:space="preserve">    D2C</t>
        </is>
      </c>
      <c r="B9" s="88" t="n">
        <v>4476.9</v>
      </c>
      <c r="C9" s="89" t="n">
        <v>0.002179226713747582</v>
      </c>
    </row>
    <row r="10">
      <c r="A10" s="87" t="inlineStr">
        <is>
          <t xml:space="preserve">    Amazon</t>
        </is>
      </c>
      <c r="B10" s="88" t="n">
        <v>1749235.47</v>
      </c>
      <c r="C10" s="89" t="n">
        <v>0.8514777334447514</v>
      </c>
    </row>
    <row r="11">
      <c r="A11" s="87" t="inlineStr">
        <is>
          <t xml:space="preserve">    Blinkit</t>
        </is>
      </c>
      <c r="B11" s="88" t="n">
        <v>290096</v>
      </c>
      <c r="C11" s="89" t="n">
        <v>0.1412104252387408</v>
      </c>
    </row>
    <row r="12">
      <c r="A12" s="87" t="inlineStr">
        <is>
          <t xml:space="preserve">    OEM</t>
        </is>
      </c>
      <c r="B12" s="88" t="n">
        <v>198975</v>
      </c>
      <c r="C12" s="89" t="n">
        <v>0.09685533189660818</v>
      </c>
    </row>
    <row r="13">
      <c r="A13" s="90" t="inlineStr">
        <is>
          <t xml:space="preserve">    Offline</t>
        </is>
      </c>
      <c r="B13" s="91" t="n">
        <v>158981</v>
      </c>
      <c r="C13" s="92" t="n">
        <v>0.07738739801610588</v>
      </c>
    </row>
    <row r="14">
      <c r="A14" s="70" t="inlineStr">
        <is>
          <t>TOTAL GROSS REVENUE</t>
        </is>
      </c>
      <c r="B14" s="71" t="n">
        <v>2401764.37</v>
      </c>
      <c r="C14" s="72" t="n"/>
    </row>
    <row r="15">
      <c r="A15" s="93" t="inlineStr"/>
      <c r="B15" s="65" t="n"/>
      <c r="C15" s="65" t="n"/>
    </row>
    <row r="16">
      <c r="A16" s="94" t="inlineStr">
        <is>
          <t>B. RETURNS</t>
        </is>
      </c>
      <c r="B16" s="67" t="n"/>
      <c r="C16" s="95" t="n"/>
    </row>
    <row r="17">
      <c r="A17" s="87" t="inlineStr">
        <is>
          <t xml:space="preserve">    Amazon Returns</t>
        </is>
      </c>
      <c r="B17" s="73" t="n">
        <v>-171892.19</v>
      </c>
      <c r="C17" s="89" t="n">
        <v>-0.08367219556670352</v>
      </c>
    </row>
    <row r="18">
      <c r="A18" s="90" t="inlineStr">
        <is>
          <t xml:space="preserve">    OEM Returns</t>
        </is>
      </c>
      <c r="B18" s="73" t="n">
        <v>-50752</v>
      </c>
      <c r="C18" s="92" t="n">
        <v>-0.02470462020061143</v>
      </c>
    </row>
    <row r="19">
      <c r="A19" s="64" t="inlineStr">
        <is>
          <t xml:space="preserve">    Offline Returns</t>
        </is>
      </c>
      <c r="B19" s="73" t="n">
        <v>-22050</v>
      </c>
      <c r="C19" s="69" t="n">
        <v>-0.01073330854790909</v>
      </c>
    </row>
    <row r="20">
      <c r="A20" s="96" t="inlineStr">
        <is>
          <t>TOTAL RETURNS</t>
        </is>
      </c>
      <c r="B20" s="71" t="n">
        <v>-244694.19</v>
      </c>
      <c r="C20" s="74" t="n">
        <v>-0.119110124315224</v>
      </c>
    </row>
    <row r="21">
      <c r="A21" s="90" t="inlineStr"/>
      <c r="B21" s="65" t="n"/>
      <c r="C21" s="97" t="n"/>
    </row>
    <row r="22">
      <c r="A22" s="54" t="inlineStr">
        <is>
          <t>D. TAXES (GST Collected)</t>
        </is>
      </c>
      <c r="B22" s="67" t="n"/>
      <c r="C22" s="67" t="n"/>
    </row>
    <row r="23">
      <c r="A23" s="98" t="inlineStr">
        <is>
          <t>TOTAL TAXES</t>
        </is>
      </c>
      <c r="B23" s="99" t="n">
        <v>-102717.61</v>
      </c>
      <c r="C23" s="100" t="n">
        <v>0.04999999099472979</v>
      </c>
    </row>
    <row r="24">
      <c r="A24" s="64" t="inlineStr"/>
      <c r="B24" s="65" t="n"/>
      <c r="C24" s="65" t="n"/>
    </row>
    <row r="25">
      <c r="A25" s="101" t="inlineStr">
        <is>
          <t>NET REVENUE (external)</t>
        </is>
      </c>
      <c r="B25" s="76" t="n">
        <v>2054352.57</v>
      </c>
      <c r="C25" s="77" t="n">
        <v>1</v>
      </c>
    </row>
    <row r="26">
      <c r="A26" s="102" t="inlineStr"/>
      <c r="B26" s="65" t="n"/>
      <c r="C26" s="103" t="n"/>
    </row>
    <row r="27">
      <c r="A27" s="102" t="inlineStr">
        <is>
          <t>Add: Inter-branch (Internal) Transactions</t>
        </is>
      </c>
      <c r="B27" s="68" t="n">
        <v>1311192</v>
      </c>
      <c r="C27" s="104" t="n">
        <v>0.6382507166235832</v>
      </c>
    </row>
    <row r="28">
      <c r="A28" s="105" t="inlineStr">
        <is>
          <t>TURNOVER (Total — audited basis)</t>
        </is>
      </c>
      <c r="B28" s="71" t="n">
        <v>3365544.57</v>
      </c>
      <c r="C28" s="106" t="n">
        <v>1.638250716623583</v>
      </c>
    </row>
    <row r="29">
      <c r="A29" s="102" t="inlineStr"/>
      <c r="B29" s="65" t="n"/>
      <c r="C29" s="103" t="n"/>
    </row>
    <row r="30">
      <c r="A30" s="107" t="inlineStr">
        <is>
          <t>E. COST OF GOODS MANUFACTURED (COGM)</t>
        </is>
      </c>
      <c r="B30" s="67" t="n"/>
      <c r="C30" s="108" t="n"/>
    </row>
    <row r="31">
      <c r="A31" s="102" t="inlineStr">
        <is>
          <t xml:space="preserve">    Raw Materials &amp; Inventory</t>
        </is>
      </c>
      <c r="B31" s="68" t="n">
        <v>-760843.39</v>
      </c>
      <c r="C31" s="104" t="n">
        <v>0.3703567737644956</v>
      </c>
    </row>
    <row r="32">
      <c r="A32" s="90" t="inlineStr">
        <is>
          <t xml:space="preserve">    Consumables</t>
        </is>
      </c>
      <c r="B32" s="68" t="n">
        <v>-3700</v>
      </c>
      <c r="C32" s="92" t="n">
        <v>0.001801054042052772</v>
      </c>
    </row>
    <row r="33">
      <c r="A33" s="64" t="inlineStr">
        <is>
          <t xml:space="preserve">    Factory Maintenance</t>
        </is>
      </c>
      <c r="B33" s="68" t="n">
        <v>-36363</v>
      </c>
      <c r="C33" s="69" t="n">
        <v>0.01770046706247701</v>
      </c>
    </row>
    <row r="34">
      <c r="A34" s="109" t="inlineStr">
        <is>
          <t xml:space="preserve">    Inbound Transport</t>
        </is>
      </c>
      <c r="B34" s="110" t="n">
        <v>-5581</v>
      </c>
      <c r="C34" s="111" t="n">
        <v>0.002716670975323384</v>
      </c>
    </row>
    <row r="35">
      <c r="A35" s="64" t="inlineStr">
        <is>
          <t xml:space="preserve">    Job work</t>
        </is>
      </c>
      <c r="B35" s="68" t="n">
        <v>-62162.5</v>
      </c>
      <c r="C35" s="69" t="n">
        <v>0.03025892483489336</v>
      </c>
    </row>
    <row r="36">
      <c r="A36" s="93" t="inlineStr">
        <is>
          <t xml:space="preserve">    Manufacturing Wages</t>
        </is>
      </c>
      <c r="B36" s="68" t="n">
        <v>-10000</v>
      </c>
      <c r="C36" s="69" t="n">
        <v>0.004867713627169654</v>
      </c>
    </row>
    <row r="37">
      <c r="A37" s="105" t="inlineStr">
        <is>
          <t>TOTAL COGM</t>
        </is>
      </c>
      <c r="B37" s="71" t="n">
        <v>-117806.5</v>
      </c>
      <c r="C37" s="106" t="n">
        <v>0.05734483054191618</v>
      </c>
    </row>
    <row r="38">
      <c r="A38" s="102" t="n"/>
      <c r="B38" s="65" t="n"/>
      <c r="C38" s="103" t="n"/>
    </row>
    <row r="39">
      <c r="A39" s="112" t="inlineStr">
        <is>
          <t>GROSS MARGIN</t>
        </is>
      </c>
      <c r="B39" s="71" t="n">
        <v>1175702.68</v>
      </c>
      <c r="C39" s="113" t="n">
        <v>0.5722983956935882</v>
      </c>
    </row>
    <row r="40">
      <c r="A40" s="64" t="n"/>
      <c r="B40" s="65" t="n"/>
      <c r="C40" s="65" t="n"/>
    </row>
    <row r="41">
      <c r="A41" s="114" t="inlineStr">
        <is>
          <t>F. CHANNEL &amp; FULFILLMENT</t>
        </is>
      </c>
      <c r="B41" s="115" t="n"/>
      <c r="C41" s="115" t="n"/>
    </row>
    <row r="42">
      <c r="A42" s="64" t="inlineStr">
        <is>
          <t xml:space="preserve">    Amazon Fees</t>
        </is>
      </c>
      <c r="B42" s="68" t="n">
        <v>-532128.39</v>
      </c>
      <c r="C42" s="69" t="n">
        <v>0.2590248615406848</v>
      </c>
    </row>
    <row r="43">
      <c r="A43" s="93" t="inlineStr">
        <is>
          <t xml:space="preserve">    D2C Fees</t>
        </is>
      </c>
      <c r="B43" s="68" t="n">
        <v>-44803.84</v>
      </c>
      <c r="C43" s="69" t="n">
        <v>0.02180922625175288</v>
      </c>
    </row>
    <row r="44">
      <c r="A44" s="105" t="inlineStr">
        <is>
          <t>TOTAL CHANNEL &amp; FULFILLMENT</t>
        </is>
      </c>
      <c r="B44" s="71" t="n">
        <v>-576932.23</v>
      </c>
      <c r="C44" s="106" t="n">
        <v>0.2808340877924377</v>
      </c>
    </row>
    <row r="45">
      <c r="A45" s="90" t="n"/>
      <c r="B45" s="65" t="n"/>
      <c r="C45" s="97" t="n"/>
    </row>
    <row r="46">
      <c r="A46" s="70" t="inlineStr">
        <is>
          <t>CM1 (Contribution Margin 1)</t>
        </is>
      </c>
      <c r="B46" s="71" t="n">
        <v>598770.45</v>
      </c>
      <c r="C46" s="74" t="n">
        <v>0.2914643079011505</v>
      </c>
    </row>
    <row r="47">
      <c r="A47" s="116" t="n"/>
      <c r="B47" s="117" t="n"/>
      <c r="C47" s="117" t="n"/>
    </row>
    <row r="48">
      <c r="A48" s="54" t="inlineStr">
        <is>
          <t>G. SALES &amp; MARKETING</t>
        </is>
      </c>
      <c r="B48" s="67" t="n"/>
      <c r="C48" s="67" t="n"/>
    </row>
    <row r="49">
      <c r="A49" s="93" t="inlineStr">
        <is>
          <t xml:space="preserve">    Advertising &amp; Marketing</t>
        </is>
      </c>
      <c r="B49" s="68" t="n">
        <v>-400593.27</v>
      </c>
      <c r="C49" s="69" t="n">
        <v>0.1949973319331453</v>
      </c>
    </row>
    <row r="50">
      <c r="A50" s="105" t="inlineStr">
        <is>
          <t>TOTAL SALES &amp; MARKETING</t>
        </is>
      </c>
      <c r="B50" s="71" t="n">
        <v>-400593.27</v>
      </c>
      <c r="C50" s="106" t="n">
        <v>0.1949973319331453</v>
      </c>
    </row>
    <row r="51">
      <c r="A51" s="102" t="n"/>
      <c r="B51" s="65" t="n"/>
      <c r="C51" s="103" t="n"/>
    </row>
    <row r="52">
      <c r="A52" s="112" t="inlineStr">
        <is>
          <t>CM2 (Contribution Margin 2)</t>
        </is>
      </c>
      <c r="B52" s="71" t="n">
        <v>198177.18</v>
      </c>
      <c r="C52" s="113" t="n">
        <v>0.09646697596800533</v>
      </c>
    </row>
    <row r="53">
      <c r="A53" s="64" t="n"/>
      <c r="B53" s="65" t="n"/>
      <c r="C53" s="65" t="n"/>
    </row>
    <row r="54">
      <c r="A54" s="118" t="inlineStr">
        <is>
          <t>H. PLATFORM COSTS</t>
        </is>
      </c>
      <c r="B54" s="119" t="n"/>
      <c r="C54" s="119" t="n"/>
    </row>
    <row r="55">
      <c r="A55" s="64" t="inlineStr">
        <is>
          <t xml:space="preserve">    Shopify Subscription</t>
        </is>
      </c>
      <c r="B55" s="68" t="n">
        <v>-749.7</v>
      </c>
      <c r="C55" s="69" t="n">
        <v>0.000364932490628909</v>
      </c>
    </row>
    <row r="56">
      <c r="A56" s="93" t="inlineStr">
        <is>
          <t xml:space="preserve">    Wati Subscription</t>
        </is>
      </c>
      <c r="B56" s="68" t="n">
        <v>-4950</v>
      </c>
      <c r="C56" s="69" t="n">
        <v>0.002409518245448979</v>
      </c>
    </row>
    <row r="57">
      <c r="A57" s="105" t="inlineStr">
        <is>
          <t>TOTAL PLATFORM COSTS</t>
        </is>
      </c>
      <c r="B57" s="71" t="n">
        <v>-5699.7</v>
      </c>
      <c r="C57" s="106" t="n">
        <v>0.002774450736077887</v>
      </c>
    </row>
    <row r="58">
      <c r="A58" s="102" t="n"/>
      <c r="B58" s="65" t="n"/>
      <c r="C58" s="103" t="n"/>
    </row>
    <row r="59">
      <c r="A59" s="105" t="inlineStr">
        <is>
          <t>CM3 (Contribution Margin 3)</t>
        </is>
      </c>
      <c r="B59" s="71" t="n">
        <v>192477.48</v>
      </c>
      <c r="C59" s="106" t="n">
        <v>0.09369252523192745</v>
      </c>
    </row>
    <row r="60">
      <c r="A60" s="102" t="n"/>
      <c r="B60" s="65" t="n"/>
      <c r="C60" s="103" t="n"/>
    </row>
    <row r="61">
      <c r="A61" s="107" t="inlineStr">
        <is>
          <t>I. OPERATING EXPENSES</t>
        </is>
      </c>
      <c r="B61" s="67" t="n"/>
      <c r="C61" s="108" t="n"/>
    </row>
    <row r="62">
      <c r="A62" s="102" t="inlineStr">
        <is>
          <t xml:space="preserve">    Legal &amp; CA expenses</t>
        </is>
      </c>
      <c r="B62" s="68" t="n">
        <v>-65750</v>
      </c>
      <c r="C62" s="104" t="n">
        <v>0.03200521709864047</v>
      </c>
    </row>
    <row r="63">
      <c r="A63" s="102" t="inlineStr">
        <is>
          <t xml:space="preserve">    Other Operating Expenses</t>
        </is>
      </c>
      <c r="B63" s="68" t="n">
        <v>-16689.87</v>
      </c>
      <c r="C63" s="104" t="n">
        <v>0.008124150763468998</v>
      </c>
    </row>
    <row r="64">
      <c r="A64" s="90" t="inlineStr">
        <is>
          <t xml:space="preserve">    Banks &amp; Finance Charges</t>
        </is>
      </c>
      <c r="B64" s="68" t="n">
        <v>-6556.62</v>
      </c>
      <c r="C64" s="92" t="n">
        <v>0.003191574852217309</v>
      </c>
    </row>
    <row r="65">
      <c r="A65" s="64" t="inlineStr">
        <is>
          <t xml:space="preserve">    Salaries (Admin Mgmt)</t>
        </is>
      </c>
      <c r="B65" s="68" t="n">
        <v>-314803</v>
      </c>
      <c r="C65" s="69" t="n">
        <v>0.1532370852973889</v>
      </c>
    </row>
    <row r="66">
      <c r="A66" s="120" t="inlineStr">
        <is>
          <t xml:space="preserve">    Miscellaneous (Travel, insurance)</t>
        </is>
      </c>
      <c r="B66" s="121" t="n">
        <v>-45695</v>
      </c>
      <c r="C66" s="122" t="n">
        <v>0.02224301741935173</v>
      </c>
    </row>
    <row r="67">
      <c r="A67" s="64" t="inlineStr">
        <is>
          <t xml:space="preserve">    Administrative Expenses</t>
        </is>
      </c>
      <c r="B67" s="68" t="n">
        <v>-170089.01</v>
      </c>
      <c r="C67" s="69" t="n">
        <v>0.08279445918087955</v>
      </c>
    </row>
    <row r="68">
      <c r="A68" s="93" t="inlineStr">
        <is>
          <t xml:space="preserve">    Staff Welfare &amp; Events</t>
        </is>
      </c>
      <c r="B68" s="68" t="n">
        <v>-2798</v>
      </c>
      <c r="C68" s="69" t="n">
        <v>0.001361986272882069</v>
      </c>
    </row>
    <row r="69">
      <c r="A69" s="105" t="inlineStr">
        <is>
          <t>TOTAL OPERATING EXPENSES</t>
        </is>
      </c>
      <c r="B69" s="71" t="n">
        <v>-622381.5</v>
      </c>
      <c r="C69" s="106" t="n">
        <v>0.302957490884829</v>
      </c>
    </row>
    <row r="70">
      <c r="A70" s="90" t="n"/>
      <c r="B70" s="65" t="n"/>
      <c r="C70" s="97" t="n"/>
    </row>
    <row r="71">
      <c r="A71" s="70" t="inlineStr">
        <is>
          <t>EBITDA</t>
        </is>
      </c>
      <c r="B71" s="71" t="n">
        <v>-429904.02</v>
      </c>
      <c r="C71" s="74" t="n">
        <v>-0.2092649656529015</v>
      </c>
    </row>
    <row r="72">
      <c r="A72" s="64" t="n"/>
      <c r="B72" s="65" t="n"/>
      <c r="C72" s="65" t="n"/>
    </row>
    <row r="73">
      <c r="A73" s="142" t="inlineStr">
        <is>
          <t>J. NON-OPERATING (I+D+A+Tax)</t>
        </is>
      </c>
      <c r="B73" s="143" t="n"/>
      <c r="C73" s="143" t="n"/>
    </row>
    <row r="74">
      <c r="A74" t="inlineStr">
        <is>
          <t xml:space="preserve">    Less: Interest Expense</t>
        </is>
      </c>
      <c r="B74" s="78" t="n">
        <v>-58328</v>
      </c>
      <c r="C74" s="79" t="n">
        <v>0.02839240004455516</v>
      </c>
    </row>
    <row r="75">
      <c r="A75" s="70" t="inlineStr">
        <is>
          <t>TOTAL NON-OPERATING</t>
        </is>
      </c>
      <c r="B75" s="71" t="n">
        <v>-58328</v>
      </c>
      <c r="C75" s="74" t="n">
        <v>0.02839240004455516</v>
      </c>
    </row>
    <row r="76">
      <c r="B76" s="62" t="n"/>
      <c r="C76" s="62" t="n"/>
    </row>
    <row r="77">
      <c r="B77" s="62" t="n"/>
      <c r="C77" s="62" t="n"/>
    </row>
    <row r="78">
      <c r="A78" s="70" t="inlineStr">
        <is>
          <t>NET INCOME</t>
        </is>
      </c>
      <c r="B78" s="71" t="n">
        <v>-488232.02</v>
      </c>
      <c r="C78" s="74" t="n">
        <v>-0.2376573656974567</v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0" customWidth="1" style="2" min="1" max="1"/>
    <col width="17" customWidth="1" style="2" min="2" max="2"/>
    <col width="13" customWidth="1" style="2" min="3" max="3"/>
  </cols>
  <sheetData>
    <row r="1" ht="24" customHeight="1" s="2">
      <c r="A1" s="61" t="inlineStr">
        <is>
          <t>Apr 2025 - PROFIT &amp; LOSS STATEMENT</t>
        </is>
      </c>
    </row>
    <row r="2">
      <c r="A2" s="63" t="inlineStr">
        <is>
          <t>Heatronics Pvt Ltd</t>
        </is>
      </c>
    </row>
    <row r="3">
      <c r="A3" s="81" t="inlineStr">
        <is>
          <t>Generated: 24 Jan 2026</t>
        </is>
      </c>
      <c r="B3" s="51" t="n"/>
      <c r="C3" s="51" t="n"/>
    </row>
    <row r="4">
      <c r="A4" s="64" t="n"/>
      <c r="B4" s="65" t="n"/>
      <c r="C4" s="65" t="n"/>
    </row>
    <row r="5">
      <c r="A5" s="83" t="inlineStr">
        <is>
          <t>Revenue Formula: Net Revenue = Gross Revenue - Returns - Discounts - Taxes (GST)</t>
        </is>
      </c>
      <c r="B5" s="65" t="n"/>
      <c r="C5" s="65" t="n"/>
    </row>
    <row r="6">
      <c r="A6" s="64" t="n"/>
      <c r="B6" s="65" t="n"/>
      <c r="C6" s="65" t="n"/>
    </row>
    <row r="7">
      <c r="A7" s="84" t="inlineStr">
        <is>
          <t>Particulars</t>
        </is>
      </c>
      <c r="B7" s="85" t="inlineStr">
        <is>
          <t>Amount (₹)</t>
        </is>
      </c>
      <c r="C7" s="85" t="inlineStr">
        <is>
          <t>% of Revenue</t>
        </is>
      </c>
    </row>
    <row r="8">
      <c r="A8" s="86" t="inlineStr">
        <is>
          <t>A. GROSS REVENUE (from Sales Register, by channel)</t>
        </is>
      </c>
      <c r="B8" s="67" t="n"/>
      <c r="C8" s="67" t="n"/>
    </row>
    <row r="9">
      <c r="A9" s="87" t="inlineStr">
        <is>
          <t xml:space="preserve">    D2C</t>
        </is>
      </c>
      <c r="B9" s="88" t="n">
        <v>7020.7</v>
      </c>
      <c r="C9" s="89" t="n">
        <v>0.003801327498043581</v>
      </c>
    </row>
    <row r="10">
      <c r="A10" s="87" t="inlineStr">
        <is>
          <t xml:space="preserve">    Amazon</t>
        </is>
      </c>
      <c r="B10" s="88" t="n">
        <v>1095299</v>
      </c>
      <c r="C10" s="89" t="n">
        <v>0.5930448826013982</v>
      </c>
    </row>
    <row r="11">
      <c r="A11" s="87" t="inlineStr">
        <is>
          <t xml:space="preserve">    Blinkit</t>
        </is>
      </c>
      <c r="B11" s="88" t="n">
        <v>395989</v>
      </c>
      <c r="C11" s="89" t="n">
        <v>0.2144065228001167</v>
      </c>
    </row>
    <row r="12">
      <c r="A12" s="87" t="inlineStr">
        <is>
          <t xml:space="preserve">    OEM</t>
        </is>
      </c>
      <c r="B12" s="88" t="n">
        <v>494288</v>
      </c>
      <c r="C12" s="89" t="n">
        <v>0.2676300890727371</v>
      </c>
    </row>
    <row r="13">
      <c r="A13" s="90" t="inlineStr">
        <is>
          <t xml:space="preserve">    Offline</t>
        </is>
      </c>
      <c r="B13" s="91" t="n">
        <v>47300</v>
      </c>
      <c r="C13" s="92" t="n">
        <v>0.02561037940055285</v>
      </c>
    </row>
    <row r="14">
      <c r="A14" s="70" t="inlineStr">
        <is>
          <t>TOTAL GROSS REVENUE</t>
        </is>
      </c>
      <c r="B14" s="71" t="n">
        <v>2039896.7</v>
      </c>
      <c r="C14" s="72" t="n"/>
    </row>
    <row r="15">
      <c r="A15" s="93" t="inlineStr"/>
      <c r="B15" s="65" t="n"/>
      <c r="C15" s="65" t="n"/>
    </row>
    <row r="16">
      <c r="A16" s="94" t="inlineStr">
        <is>
          <t>B. RETURNS</t>
        </is>
      </c>
      <c r="B16" s="67" t="n"/>
      <c r="C16" s="95" t="n"/>
    </row>
    <row r="17">
      <c r="A17" s="87" t="inlineStr">
        <is>
          <t xml:space="preserve">    Amazon Returns</t>
        </is>
      </c>
      <c r="B17" s="73" t="n">
        <v>-100644</v>
      </c>
      <c r="C17" s="89" t="n">
        <v>-0.05449325632958226</v>
      </c>
    </row>
    <row r="18">
      <c r="A18" s="112" t="inlineStr">
        <is>
          <t>TOTAL RETURNS</t>
        </is>
      </c>
      <c r="B18" s="71" t="n">
        <v>-100644</v>
      </c>
      <c r="C18" s="113" t="n">
        <v>-0.05449325632958226</v>
      </c>
    </row>
    <row r="19">
      <c r="A19" s="64" t="inlineStr"/>
      <c r="B19" s="65" t="n"/>
      <c r="C19" s="65" t="n"/>
    </row>
    <row r="20">
      <c r="A20" s="86" t="inlineStr">
        <is>
          <t>D. TAXES (GST Collected)</t>
        </is>
      </c>
      <c r="B20" s="67" t="n"/>
      <c r="C20" s="67" t="n"/>
    </row>
    <row r="21">
      <c r="A21" s="112" t="inlineStr">
        <is>
          <t>TOTAL TAXES</t>
        </is>
      </c>
      <c r="B21" s="71" t="n">
        <v>-92345.27</v>
      </c>
      <c r="C21" s="113" t="n">
        <v>0.04999994504326619</v>
      </c>
    </row>
    <row r="22">
      <c r="A22" s="64" t="inlineStr"/>
      <c r="B22" s="65" t="n"/>
      <c r="C22" s="65" t="n"/>
    </row>
    <row r="23">
      <c r="A23" s="144" t="inlineStr">
        <is>
          <t>NET REVENUE (external)</t>
        </is>
      </c>
      <c r="B23" s="145" t="n">
        <v>1846907.43</v>
      </c>
      <c r="C23" s="146" t="n">
        <v>1</v>
      </c>
    </row>
    <row r="24">
      <c r="A24" s="64" t="inlineStr"/>
      <c r="B24" s="65" t="n"/>
      <c r="C24" s="65" t="n"/>
    </row>
    <row r="25">
      <c r="A25" s="93" t="inlineStr">
        <is>
          <t>Add: Inter-branch (Internal) Transactions</t>
        </is>
      </c>
      <c r="B25" s="68" t="n">
        <v>1008186</v>
      </c>
      <c r="C25" s="69" t="n">
        <v>0.5458779274064646</v>
      </c>
    </row>
    <row r="26">
      <c r="A26" s="105" t="inlineStr">
        <is>
          <t>TURNOVER (Total — audited basis)</t>
        </is>
      </c>
      <c r="B26" s="71" t="n">
        <v>2855093.43</v>
      </c>
      <c r="C26" s="106" t="n">
        <v>1.545877927406464</v>
      </c>
    </row>
    <row r="27">
      <c r="A27" s="102" t="inlineStr"/>
      <c r="B27" s="65" t="n"/>
      <c r="C27" s="103" t="n"/>
    </row>
    <row r="28">
      <c r="A28" s="107" t="inlineStr">
        <is>
          <t>E. COST OF GOODS MANUFACTURED (COGM)</t>
        </is>
      </c>
      <c r="B28" s="67" t="n"/>
      <c r="C28" s="108" t="n"/>
    </row>
    <row r="29">
      <c r="A29" s="102" t="inlineStr">
        <is>
          <t xml:space="preserve">    Raw Materials &amp; Inventory</t>
        </is>
      </c>
      <c r="B29" s="68" t="n">
        <v>-684014.6800000001</v>
      </c>
      <c r="C29" s="104" t="n">
        <v>0.3703567752716226</v>
      </c>
    </row>
    <row r="30">
      <c r="A30" s="90" t="inlineStr">
        <is>
          <t xml:space="preserve">    Factory Maintenance</t>
        </is>
      </c>
      <c r="B30" s="68" t="n">
        <v>-26192</v>
      </c>
      <c r="C30" s="92" t="n">
        <v>0.01418154455093616</v>
      </c>
    </row>
    <row r="31">
      <c r="A31" s="64" t="inlineStr">
        <is>
          <t xml:space="preserve">    Inbound Transport</t>
        </is>
      </c>
      <c r="B31" s="68" t="n">
        <v>-4400</v>
      </c>
      <c r="C31" s="69" t="n">
        <v>0.002382360874470032</v>
      </c>
    </row>
    <row r="32">
      <c r="A32" s="109" t="inlineStr">
        <is>
          <t xml:space="preserve">    Job work</t>
        </is>
      </c>
      <c r="B32" s="110" t="n">
        <v>-56730.5</v>
      </c>
      <c r="C32" s="111" t="n">
        <v>0.0307164826338914</v>
      </c>
    </row>
    <row r="33">
      <c r="A33" s="70" t="inlineStr">
        <is>
          <t>TOTAL COGM</t>
        </is>
      </c>
      <c r="B33" s="71" t="n">
        <v>-87322.5</v>
      </c>
      <c r="C33" s="74" t="n">
        <v>0.04728038805929759</v>
      </c>
    </row>
    <row r="34">
      <c r="A34" s="93" t="n"/>
      <c r="B34" s="65" t="n"/>
      <c r="C34" s="65" t="n"/>
    </row>
    <row r="35">
      <c r="A35" s="105" t="inlineStr">
        <is>
          <t>GROSS MARGIN</t>
        </is>
      </c>
      <c r="B35" s="71" t="n">
        <v>1075570.25</v>
      </c>
      <c r="C35" s="106" t="n">
        <v>0.5823628366690798</v>
      </c>
    </row>
    <row r="36">
      <c r="A36" s="102" t="n"/>
      <c r="B36" s="65" t="n"/>
      <c r="C36" s="103" t="n"/>
    </row>
    <row r="37">
      <c r="A37" s="125" t="inlineStr">
        <is>
          <t>F. CHANNEL &amp; FULFILLMENT</t>
        </is>
      </c>
      <c r="B37" s="67" t="n"/>
      <c r="C37" s="126" t="n"/>
    </row>
    <row r="38">
      <c r="A38" s="64" t="inlineStr">
        <is>
          <t xml:space="preserve">    Amazon Fees</t>
        </is>
      </c>
      <c r="B38" s="68" t="n">
        <v>-380247.99</v>
      </c>
      <c r="C38" s="69" t="n">
        <v>0.2058836213572437</v>
      </c>
    </row>
    <row r="39">
      <c r="A39" s="129" t="inlineStr">
        <is>
          <t xml:space="preserve">    D2C Fees</t>
        </is>
      </c>
      <c r="B39" s="130" t="n">
        <v>-55820.38</v>
      </c>
      <c r="C39" s="131" t="n">
        <v>0.03022370211592034</v>
      </c>
    </row>
    <row r="40">
      <c r="A40" s="70" t="inlineStr">
        <is>
          <t>TOTAL CHANNEL &amp; FULFILLMENT</t>
        </is>
      </c>
      <c r="B40" s="71" t="n">
        <v>-436068.37</v>
      </c>
      <c r="C40" s="74" t="n">
        <v>0.236107323473164</v>
      </c>
    </row>
    <row r="41">
      <c r="A41" s="93" t="n"/>
      <c r="B41" s="65" t="n"/>
      <c r="C41" s="65" t="n"/>
    </row>
    <row r="42">
      <c r="A42" s="105" t="inlineStr">
        <is>
          <t>CM1 (Contribution Margin 1)</t>
        </is>
      </c>
      <c r="B42" s="71" t="n">
        <v>639501.88</v>
      </c>
      <c r="C42" s="106" t="n">
        <v>0.3462555131959159</v>
      </c>
    </row>
    <row r="43">
      <c r="A43" s="90" t="n"/>
      <c r="B43" s="65" t="n"/>
      <c r="C43" s="97" t="n"/>
    </row>
    <row r="44">
      <c r="A44" s="54" t="inlineStr">
        <is>
          <t>G. SALES &amp; MARKETING</t>
        </is>
      </c>
      <c r="B44" s="67" t="n"/>
      <c r="C44" s="67" t="n"/>
    </row>
    <row r="45">
      <c r="A45" s="116" t="inlineStr">
        <is>
          <t xml:space="preserve">    Advertising &amp; Marketing</t>
        </is>
      </c>
      <c r="B45" s="147" t="n">
        <v>-308361.75</v>
      </c>
      <c r="C45" s="148" t="n">
        <v>0.1669611291779794</v>
      </c>
    </row>
    <row r="46">
      <c r="A46" s="70" t="inlineStr">
        <is>
          <t>TOTAL SALES &amp; MARKETING</t>
        </is>
      </c>
      <c r="B46" s="71" t="n">
        <v>-308361.75</v>
      </c>
      <c r="C46" s="74" t="n">
        <v>0.1669611291779794</v>
      </c>
    </row>
    <row r="47">
      <c r="A47" s="93" t="n"/>
      <c r="B47" s="65" t="n"/>
      <c r="C47" s="65" t="n"/>
    </row>
    <row r="48">
      <c r="A48" s="105" t="inlineStr">
        <is>
          <t>CM2 (Contribution Margin 2)</t>
        </is>
      </c>
      <c r="B48" s="71" t="n">
        <v>331140.13</v>
      </c>
      <c r="C48" s="106" t="n">
        <v>0.1792943840179364</v>
      </c>
    </row>
    <row r="49">
      <c r="A49" s="90" t="n"/>
      <c r="B49" s="65" t="n"/>
      <c r="C49" s="97" t="n"/>
    </row>
    <row r="50">
      <c r="A50" s="54" t="inlineStr">
        <is>
          <t>H. PLATFORM COSTS</t>
        </is>
      </c>
      <c r="B50" s="67" t="n"/>
      <c r="C50" s="67" t="n"/>
    </row>
    <row r="51">
      <c r="A51" s="140" t="inlineStr">
        <is>
          <t xml:space="preserve">    Shopify Subscription</t>
        </is>
      </c>
      <c r="B51" s="149" t="n">
        <v>-175.53</v>
      </c>
      <c r="C51" s="150" t="n">
        <v>9.503995552175563e-05</v>
      </c>
    </row>
    <row r="52">
      <c r="A52" s="70" t="inlineStr">
        <is>
          <t>TOTAL PLATFORM COSTS</t>
        </is>
      </c>
      <c r="B52" s="71" t="n">
        <v>-175.53</v>
      </c>
      <c r="C52" s="74" t="n">
        <v>9.503995552175563e-05</v>
      </c>
    </row>
    <row r="53">
      <c r="A53" s="93" t="n"/>
      <c r="B53" s="65" t="n"/>
      <c r="C53" s="65" t="n"/>
    </row>
    <row r="54">
      <c r="A54" s="105" t="inlineStr">
        <is>
          <t>CM3 (Contribution Margin 3)</t>
        </is>
      </c>
      <c r="B54" s="71" t="n">
        <v>330964.6</v>
      </c>
      <c r="C54" s="106" t="n">
        <v>0.1791993440624146</v>
      </c>
    </row>
    <row r="55">
      <c r="A55" s="102" t="n"/>
      <c r="B55" s="65" t="n"/>
      <c r="C55" s="103" t="n"/>
    </row>
    <row r="56">
      <c r="A56" s="107" t="inlineStr">
        <is>
          <t>I. OPERATING EXPENSES</t>
        </is>
      </c>
      <c r="B56" s="67" t="n"/>
      <c r="C56" s="108" t="n"/>
    </row>
    <row r="57">
      <c r="A57" s="102" t="inlineStr">
        <is>
          <t xml:space="preserve">    Legal &amp; CA expenses</t>
        </is>
      </c>
      <c r="B57" s="68" t="n">
        <v>-43300</v>
      </c>
      <c r="C57" s="104" t="n">
        <v>0.02344459678739827</v>
      </c>
    </row>
    <row r="58">
      <c r="A58" s="102" t="inlineStr">
        <is>
          <t xml:space="preserve">    Banks &amp; Finance Charges</t>
        </is>
      </c>
      <c r="B58" s="68" t="n">
        <v>-35641</v>
      </c>
      <c r="C58" s="104" t="n">
        <v>0.01929766452886055</v>
      </c>
    </row>
    <row r="59">
      <c r="A59" s="102" t="inlineStr">
        <is>
          <t xml:space="preserve">    Salaries (Admin Mgmt)</t>
        </is>
      </c>
      <c r="B59" s="68" t="n">
        <v>-368943</v>
      </c>
      <c r="C59" s="104" t="n">
        <v>0.1997625836612721</v>
      </c>
    </row>
    <row r="60">
      <c r="A60" s="102" t="inlineStr">
        <is>
          <t xml:space="preserve">    Administrative Expenses</t>
        </is>
      </c>
      <c r="B60" s="68" t="n">
        <v>-221385.08</v>
      </c>
      <c r="C60" s="104" t="n">
        <v>0.1198679892689586</v>
      </c>
    </row>
    <row r="61">
      <c r="A61" s="90" t="inlineStr">
        <is>
          <t xml:space="preserve">    Other Operating Expenses</t>
        </is>
      </c>
      <c r="B61" s="68" t="n">
        <v>-52512.07</v>
      </c>
      <c r="C61" s="92" t="n">
        <v>0.02843243204668899</v>
      </c>
    </row>
    <row r="62">
      <c r="A62" s="64" t="inlineStr">
        <is>
          <t xml:space="preserve">    Staff Welfare &amp; Events</t>
        </is>
      </c>
      <c r="B62" s="68" t="n">
        <v>-2178</v>
      </c>
      <c r="C62" s="69" t="n">
        <v>0.001179268632862666</v>
      </c>
    </row>
    <row r="63">
      <c r="A63" s="120" t="inlineStr">
        <is>
          <t xml:space="preserve">    Miscellaneous (Travel, insurance)</t>
        </is>
      </c>
      <c r="B63" s="121" t="n">
        <v>-28389</v>
      </c>
      <c r="C63" s="122" t="n">
        <v>0.01537110065121131</v>
      </c>
    </row>
    <row r="64">
      <c r="A64" s="70" t="inlineStr">
        <is>
          <t>TOTAL OPERATING EXPENSES</t>
        </is>
      </c>
      <c r="B64" s="71" t="n">
        <v>-752348.15</v>
      </c>
      <c r="C64" s="74" t="n">
        <v>0.4073556355772525</v>
      </c>
    </row>
    <row r="65">
      <c r="A65" s="93" t="n"/>
      <c r="B65" s="65" t="n"/>
      <c r="C65" s="65" t="n"/>
    </row>
    <row r="66">
      <c r="A66" s="105" t="inlineStr">
        <is>
          <t>EBITDA</t>
        </is>
      </c>
      <c r="B66" s="71" t="n">
        <v>-421383.55</v>
      </c>
      <c r="C66" s="106" t="n">
        <v>-0.2281562915148379</v>
      </c>
    </row>
    <row r="67">
      <c r="A67" s="90" t="n"/>
      <c r="B67" s="65" t="n"/>
      <c r="C67" s="97" t="n"/>
    </row>
    <row r="68">
      <c r="A68" s="54" t="inlineStr">
        <is>
          <t>J. NON-OPERATING (I+D+A+Tax)</t>
        </is>
      </c>
      <c r="B68" s="67" t="n"/>
      <c r="C68" s="67" t="n"/>
    </row>
    <row r="69">
      <c r="A69" s="64" t="inlineStr">
        <is>
          <t xml:space="preserve">    Less: Interest Expense</t>
        </is>
      </c>
      <c r="B69" s="68" t="n">
        <v>-52479</v>
      </c>
      <c r="C69" s="69" t="n">
        <v>0.02841452643893473</v>
      </c>
    </row>
    <row r="70">
      <c r="A70" s="154" t="inlineStr">
        <is>
          <t>TOTAL NON-OPERATING</t>
        </is>
      </c>
      <c r="B70" s="155" t="n">
        <v>-52479</v>
      </c>
      <c r="C70" s="156" t="n">
        <v>0.02841452643893473</v>
      </c>
    </row>
    <row r="71">
      <c r="B71" s="62" t="n"/>
      <c r="C71" s="62" t="n"/>
    </row>
    <row r="72">
      <c r="B72" s="62" t="n"/>
      <c r="C72" s="62" t="n"/>
    </row>
    <row r="73">
      <c r="A73" s="70" t="inlineStr">
        <is>
          <t>NET INCOME</t>
        </is>
      </c>
      <c r="B73" s="71" t="n">
        <v>-473862.55</v>
      </c>
      <c r="C73" s="74" t="n">
        <v>-0.2565708179537726</v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0" customWidth="1" style="2" min="1" max="1"/>
    <col width="17" customWidth="1" style="2" min="2" max="2"/>
    <col width="13" customWidth="1" style="2" min="3" max="3"/>
  </cols>
  <sheetData>
    <row r="1" ht="24" customHeight="1" s="2">
      <c r="A1" s="61" t="inlineStr">
        <is>
          <t>Mar 2025 - PROFIT &amp; LOSS STATEMENT</t>
        </is>
      </c>
    </row>
    <row r="2">
      <c r="A2" s="63" t="inlineStr">
        <is>
          <t>Heatronics Pvt Ltd</t>
        </is>
      </c>
    </row>
    <row r="3">
      <c r="A3" s="81" t="inlineStr">
        <is>
          <t>Generated: 24 Jan 2026</t>
        </is>
      </c>
      <c r="B3" s="51" t="n"/>
      <c r="C3" s="51" t="n"/>
    </row>
    <row r="4">
      <c r="A4" s="64" t="n"/>
      <c r="B4" s="65" t="n"/>
      <c r="C4" s="65" t="n"/>
    </row>
    <row r="5">
      <c r="A5" s="83" t="inlineStr">
        <is>
          <t>Revenue Formula: Net Revenue = Gross Revenue - Returns - Discounts - Taxes (GST)</t>
        </is>
      </c>
      <c r="B5" s="65" t="n"/>
      <c r="C5" s="65" t="n"/>
    </row>
    <row r="6">
      <c r="A6" s="64" t="n"/>
      <c r="B6" s="65" t="n"/>
      <c r="C6" s="65" t="n"/>
    </row>
    <row r="7">
      <c r="A7" s="84" t="inlineStr">
        <is>
          <t>Particulars</t>
        </is>
      </c>
      <c r="B7" s="85" t="inlineStr">
        <is>
          <t>Amount (₹)</t>
        </is>
      </c>
      <c r="C7" s="85" t="inlineStr">
        <is>
          <t>% of Revenue</t>
        </is>
      </c>
    </row>
    <row r="8">
      <c r="A8" s="86" t="inlineStr">
        <is>
          <t>A. GROSS REVENUE (from Sales Register, by channel)</t>
        </is>
      </c>
      <c r="B8" s="67" t="n"/>
      <c r="C8" s="67" t="n"/>
    </row>
    <row r="9">
      <c r="A9" s="87" t="inlineStr">
        <is>
          <t xml:space="preserve">    D2C</t>
        </is>
      </c>
      <c r="B9" s="88" t="n">
        <v>69038.59</v>
      </c>
      <c r="C9" s="89" t="n">
        <v>0.02884574944396217</v>
      </c>
    </row>
    <row r="10">
      <c r="A10" s="87" t="inlineStr">
        <is>
          <t xml:space="preserve">    Amazon</t>
        </is>
      </c>
      <c r="B10" s="88" t="n">
        <v>1080217</v>
      </c>
      <c r="C10" s="89" t="n">
        <v>0.4513369830859594</v>
      </c>
    </row>
    <row r="11">
      <c r="A11" s="87" t="inlineStr">
        <is>
          <t xml:space="preserve">    Blinkit</t>
        </is>
      </c>
      <c r="B11" s="88" t="n">
        <v>168445</v>
      </c>
      <c r="C11" s="89" t="n">
        <v>0.07037980157312321</v>
      </c>
    </row>
    <row r="12">
      <c r="A12" s="87" t="inlineStr">
        <is>
          <t xml:space="preserve">    OEM</t>
        </is>
      </c>
      <c r="B12" s="88" t="n">
        <v>165375</v>
      </c>
      <c r="C12" s="89" t="n">
        <v>0.06909709213782096</v>
      </c>
    </row>
    <row r="13">
      <c r="A13" s="90" t="inlineStr">
        <is>
          <t xml:space="preserve">    Offline</t>
        </is>
      </c>
      <c r="B13" s="91" t="n">
        <v>1386835</v>
      </c>
      <c r="C13" s="92" t="n">
        <v>0.5794483191229323</v>
      </c>
    </row>
    <row r="14">
      <c r="A14" s="70" t="inlineStr">
        <is>
          <t>TOTAL GROSS REVENUE</t>
        </is>
      </c>
      <c r="B14" s="71" t="n">
        <v>2869910.59</v>
      </c>
      <c r="C14" s="72" t="n"/>
    </row>
    <row r="15">
      <c r="A15" s="93" t="inlineStr"/>
      <c r="B15" s="65" t="n"/>
      <c r="C15" s="65" t="n"/>
    </row>
    <row r="16">
      <c r="A16" s="94" t="inlineStr">
        <is>
          <t>B. RETURNS</t>
        </is>
      </c>
      <c r="B16" s="67" t="n"/>
      <c r="C16" s="95" t="n"/>
    </row>
    <row r="17">
      <c r="A17" s="87" t="inlineStr">
        <is>
          <t xml:space="preserve">    Amazon Returns</t>
        </is>
      </c>
      <c r="B17" s="73" t="n">
        <v>-134839</v>
      </c>
      <c r="C17" s="89" t="n">
        <v>-0.05633852037352466</v>
      </c>
    </row>
    <row r="18">
      <c r="A18" s="90" t="inlineStr">
        <is>
          <t xml:space="preserve">    OEM Returns</t>
        </is>
      </c>
      <c r="B18" s="73" t="n">
        <v>-109521</v>
      </c>
      <c r="C18" s="92" t="n">
        <v>-0.04576013682857923</v>
      </c>
    </row>
    <row r="19">
      <c r="A19" s="64" t="inlineStr">
        <is>
          <t xml:space="preserve">    Offline Returns</t>
        </is>
      </c>
      <c r="B19" s="73" t="n">
        <v>-91127</v>
      </c>
      <c r="C19" s="69" t="n">
        <v>-0.03807474355400278</v>
      </c>
    </row>
    <row r="20">
      <c r="A20" s="96" t="inlineStr">
        <is>
          <t>TOTAL RETURNS</t>
        </is>
      </c>
      <c r="B20" s="71" t="n">
        <v>-335487</v>
      </c>
      <c r="C20" s="74" t="n">
        <v>-0.1401734007561067</v>
      </c>
    </row>
    <row r="21">
      <c r="A21" s="90" t="inlineStr"/>
      <c r="B21" s="65" t="n"/>
      <c r="C21" s="97" t="n"/>
    </row>
    <row r="22">
      <c r="A22" s="54" t="inlineStr">
        <is>
          <t>D. TAXES (GST Collected)</t>
        </is>
      </c>
      <c r="B22" s="67" t="n"/>
      <c r="C22" s="67" t="n"/>
    </row>
    <row r="23">
      <c r="A23" s="98" t="inlineStr">
        <is>
          <t>TOTAL TAXES</t>
        </is>
      </c>
      <c r="B23" s="99" t="n">
        <v>-141052.25</v>
      </c>
      <c r="C23" s="100" t="n">
        <v>0.05893454460769135</v>
      </c>
    </row>
    <row r="24">
      <c r="A24" s="64" t="inlineStr"/>
      <c r="B24" s="65" t="n"/>
      <c r="C24" s="65" t="n"/>
    </row>
    <row r="25">
      <c r="A25" s="101" t="inlineStr">
        <is>
          <t>NET REVENUE (external)</t>
        </is>
      </c>
      <c r="B25" s="76" t="n">
        <v>2393371.34</v>
      </c>
      <c r="C25" s="77" t="n">
        <v>1</v>
      </c>
    </row>
    <row r="26">
      <c r="A26" s="102" t="inlineStr"/>
      <c r="B26" s="65" t="n"/>
      <c r="C26" s="103" t="n"/>
    </row>
    <row r="27">
      <c r="A27" s="102" t="inlineStr">
        <is>
          <t>Add: Inter-branch (Internal) Transactions</t>
        </is>
      </c>
      <c r="B27" s="68" t="n">
        <v>1813321</v>
      </c>
      <c r="C27" s="104" t="n">
        <v>0.7576429823881823</v>
      </c>
    </row>
    <row r="28">
      <c r="A28" s="105" t="inlineStr">
        <is>
          <t>TURNOVER (Total — audited basis)</t>
        </is>
      </c>
      <c r="B28" s="71" t="n">
        <v>4206692.34</v>
      </c>
      <c r="C28" s="106" t="n">
        <v>1.757642982388182</v>
      </c>
    </row>
    <row r="29">
      <c r="A29" s="102" t="inlineStr"/>
      <c r="B29" s="65" t="n"/>
      <c r="C29" s="103" t="n"/>
    </row>
    <row r="30">
      <c r="A30" s="107" t="inlineStr">
        <is>
          <t>E. COST OF GOODS MANUFACTURED (COGM)</t>
        </is>
      </c>
      <c r="B30" s="67" t="n"/>
      <c r="C30" s="108" t="n"/>
    </row>
    <row r="31">
      <c r="A31" s="102" t="inlineStr">
        <is>
          <t xml:space="preserve">    Raw Materials &amp; Inventory</t>
        </is>
      </c>
      <c r="B31" s="68" t="n">
        <v>-741184.54</v>
      </c>
      <c r="C31" s="104" t="n">
        <v>0.3096822158821372</v>
      </c>
    </row>
    <row r="32">
      <c r="A32" s="90" t="inlineStr">
        <is>
          <t xml:space="preserve">    Consumables</t>
        </is>
      </c>
      <c r="B32" s="68" t="n">
        <v>-8165</v>
      </c>
      <c r="C32" s="92" t="n">
        <v>0.003411505713108439</v>
      </c>
    </row>
    <row r="33">
      <c r="A33" s="64" t="inlineStr">
        <is>
          <t xml:space="preserve">    Factory Maintenance</t>
        </is>
      </c>
      <c r="B33" s="68" t="n">
        <v>-25285</v>
      </c>
      <c r="C33" s="69" t="n">
        <v>0.01056459546306759</v>
      </c>
    </row>
    <row r="34">
      <c r="A34" s="109" t="inlineStr">
        <is>
          <t xml:space="preserve">    Inbound Transport</t>
        </is>
      </c>
      <c r="B34" s="110" t="n">
        <v>-7265.58</v>
      </c>
      <c r="C34" s="111" t="n">
        <v>0.003035709452424545</v>
      </c>
    </row>
    <row r="35">
      <c r="A35" s="64" t="inlineStr">
        <is>
          <t xml:space="preserve">    Job work</t>
        </is>
      </c>
      <c r="B35" s="68" t="n">
        <v>-23125</v>
      </c>
      <c r="C35" s="69" t="n">
        <v>0.009662102831063399</v>
      </c>
    </row>
    <row r="36">
      <c r="A36" s="93" t="inlineStr">
        <is>
          <t xml:space="preserve">    Manufacturing Wages</t>
        </is>
      </c>
      <c r="B36" s="68" t="n">
        <v>-109000</v>
      </c>
      <c r="C36" s="69" t="n">
        <v>0.04554245226317451</v>
      </c>
    </row>
    <row r="37">
      <c r="A37" s="105" t="inlineStr">
        <is>
          <t>TOTAL COGM</t>
        </is>
      </c>
      <c r="B37" s="71" t="n">
        <v>-172840.58</v>
      </c>
      <c r="C37" s="106" t="n">
        <v>0.07221636572283847</v>
      </c>
    </row>
    <row r="38">
      <c r="A38" s="102" t="n"/>
      <c r="B38" s="65" t="n"/>
      <c r="C38" s="103" t="n"/>
    </row>
    <row r="39">
      <c r="A39" s="112" t="inlineStr">
        <is>
          <t>GROSS MARGIN</t>
        </is>
      </c>
      <c r="B39" s="71" t="n">
        <v>1479346.22</v>
      </c>
      <c r="C39" s="113" t="n">
        <v>0.6181014183950243</v>
      </c>
    </row>
    <row r="40">
      <c r="A40" s="64" t="n"/>
      <c r="B40" s="65" t="n"/>
      <c r="C40" s="65" t="n"/>
    </row>
    <row r="41">
      <c r="A41" s="114" t="inlineStr">
        <is>
          <t>F. CHANNEL &amp; FULFILLMENT</t>
        </is>
      </c>
      <c r="B41" s="115" t="n"/>
      <c r="C41" s="115" t="n"/>
    </row>
    <row r="42">
      <c r="A42" s="64" t="inlineStr">
        <is>
          <t xml:space="preserve">    Amazon Fees</t>
        </is>
      </c>
      <c r="B42" s="68" t="n">
        <v>-246835</v>
      </c>
      <c r="C42" s="69" t="n">
        <v>0.103132763342942</v>
      </c>
    </row>
    <row r="43">
      <c r="A43" s="93" t="inlineStr">
        <is>
          <t xml:space="preserve">    D2C Fees</t>
        </is>
      </c>
      <c r="B43" s="68" t="n">
        <v>-56160.15</v>
      </c>
      <c r="C43" s="69" t="n">
        <v>0.02346487110520844</v>
      </c>
    </row>
    <row r="44">
      <c r="A44" s="105" t="inlineStr">
        <is>
          <t>TOTAL CHANNEL &amp; FULFILLMENT</t>
        </is>
      </c>
      <c r="B44" s="71" t="n">
        <v>-302995.15</v>
      </c>
      <c r="C44" s="106" t="n">
        <v>0.1265976344481505</v>
      </c>
    </row>
    <row r="45">
      <c r="A45" s="90" t="n"/>
      <c r="B45" s="65" t="n"/>
      <c r="C45" s="97" t="n"/>
    </row>
    <row r="46">
      <c r="A46" s="70" t="inlineStr">
        <is>
          <t>CM1 (Contribution Margin 1)</t>
        </is>
      </c>
      <c r="B46" s="71" t="n">
        <v>1176351.07</v>
      </c>
      <c r="C46" s="74" t="n">
        <v>0.4915037839468739</v>
      </c>
    </row>
    <row r="47">
      <c r="A47" s="116" t="n"/>
      <c r="B47" s="117" t="n"/>
      <c r="C47" s="117" t="n"/>
    </row>
    <row r="48">
      <c r="A48" s="54" t="inlineStr">
        <is>
          <t>G. SALES &amp; MARKETING</t>
        </is>
      </c>
      <c r="B48" s="67" t="n"/>
      <c r="C48" s="67" t="n"/>
    </row>
    <row r="49">
      <c r="A49" s="93" t="inlineStr">
        <is>
          <t xml:space="preserve">    Advertising &amp; Marketing</t>
        </is>
      </c>
      <c r="B49" s="68" t="n">
        <v>-382285.53</v>
      </c>
      <c r="C49" s="69" t="n">
        <v>0.1597267935864896</v>
      </c>
    </row>
    <row r="50">
      <c r="A50" s="105" t="inlineStr">
        <is>
          <t>TOTAL SALES &amp; MARKETING</t>
        </is>
      </c>
      <c r="B50" s="71" t="n">
        <v>-382285.53</v>
      </c>
      <c r="C50" s="106" t="n">
        <v>0.1597267935864896</v>
      </c>
    </row>
    <row r="51">
      <c r="A51" s="90" t="n"/>
      <c r="B51" s="65" t="n"/>
      <c r="C51" s="97" t="n"/>
    </row>
    <row r="52">
      <c r="A52" s="70" t="inlineStr">
        <is>
          <t>CM2 (Contribution Margin 2)</t>
        </is>
      </c>
      <c r="B52" s="71" t="n">
        <v>794065.54</v>
      </c>
      <c r="C52" s="74" t="n">
        <v>0.3317769903603843</v>
      </c>
    </row>
    <row r="53">
      <c r="A53" s="140" t="n"/>
      <c r="B53" s="141" t="n"/>
      <c r="C53" s="141" t="n"/>
    </row>
    <row r="54">
      <c r="A54" s="54" t="inlineStr">
        <is>
          <t>H. PLATFORM COSTS</t>
        </is>
      </c>
      <c r="B54" s="67" t="n"/>
      <c r="C54" s="67" t="n"/>
    </row>
    <row r="55">
      <c r="A55" s="93" t="inlineStr">
        <is>
          <t xml:space="preserve">    Shopify Subscription</t>
        </is>
      </c>
      <c r="B55" s="68" t="n">
        <v>-1791.18</v>
      </c>
      <c r="C55" s="69" t="n">
        <v>0.0007483920150894763</v>
      </c>
    </row>
    <row r="56">
      <c r="A56" s="105" t="inlineStr">
        <is>
          <t>TOTAL PLATFORM COSTS</t>
        </is>
      </c>
      <c r="B56" s="71" t="n">
        <v>-1791.18</v>
      </c>
      <c r="C56" s="106" t="n">
        <v>0.0007483920150894763</v>
      </c>
    </row>
    <row r="57">
      <c r="A57" s="102" t="n"/>
      <c r="B57" s="65" t="n"/>
      <c r="C57" s="103" t="n"/>
    </row>
    <row r="58">
      <c r="A58" s="105" t="inlineStr">
        <is>
          <t>CM3 (Contribution Margin 3)</t>
        </is>
      </c>
      <c r="B58" s="71" t="n">
        <v>792274.36</v>
      </c>
      <c r="C58" s="106" t="n">
        <v>0.3310285983452948</v>
      </c>
    </row>
    <row r="59">
      <c r="A59" s="102" t="n"/>
      <c r="B59" s="65" t="n"/>
      <c r="C59" s="103" t="n"/>
    </row>
    <row r="60">
      <c r="A60" s="107" t="inlineStr">
        <is>
          <t>I. OPERATING EXPENSES</t>
        </is>
      </c>
      <c r="B60" s="67" t="n"/>
      <c r="C60" s="108" t="n"/>
    </row>
    <row r="61">
      <c r="A61" s="102" t="inlineStr">
        <is>
          <t xml:space="preserve">    Legal &amp; CA expenses</t>
        </is>
      </c>
      <c r="B61" s="68" t="n">
        <v>-117647</v>
      </c>
      <c r="C61" s="104" t="n">
        <v>0.04915534753583203</v>
      </c>
    </row>
    <row r="62">
      <c r="A62" s="102" t="inlineStr">
        <is>
          <t xml:space="preserve">    Other Operating Expenses</t>
        </is>
      </c>
      <c r="B62" s="68" t="n">
        <v>-41886.25</v>
      </c>
      <c r="C62" s="104" t="n">
        <v>0.0175009407441137</v>
      </c>
    </row>
    <row r="63">
      <c r="A63" s="90" t="inlineStr">
        <is>
          <t xml:space="preserve">    Banks &amp; Finance Charges</t>
        </is>
      </c>
      <c r="B63" s="68" t="n">
        <v>-2647</v>
      </c>
      <c r="C63" s="92" t="n">
        <v>0.0011059712948681</v>
      </c>
    </row>
    <row r="64">
      <c r="A64" s="64" t="inlineStr">
        <is>
          <t xml:space="preserve">    Administrative Expenses</t>
        </is>
      </c>
      <c r="B64" s="68" t="n">
        <v>-211636.48</v>
      </c>
      <c r="C64" s="69" t="n">
        <v>0.0884260943811586</v>
      </c>
    </row>
    <row r="65">
      <c r="A65" s="120" t="inlineStr">
        <is>
          <t xml:space="preserve">    Salaries (Admin Mgmt)</t>
        </is>
      </c>
      <c r="B65" s="121" t="n">
        <v>-267482</v>
      </c>
      <c r="C65" s="122" t="n">
        <v>0.1117595065711784</v>
      </c>
    </row>
    <row r="66">
      <c r="A66" s="64" t="inlineStr">
        <is>
          <t xml:space="preserve">    Miscellaneous (Travel, insurance)</t>
        </is>
      </c>
      <c r="B66" s="68" t="n">
        <v>-29898.75</v>
      </c>
      <c r="C66" s="69" t="n">
        <v>0.01249231554682192</v>
      </c>
    </row>
    <row r="67">
      <c r="A67" s="93" t="inlineStr">
        <is>
          <t xml:space="preserve">    Staff Welfare &amp; Events</t>
        </is>
      </c>
      <c r="B67" s="68" t="n">
        <v>-2900</v>
      </c>
      <c r="C67" s="69" t="n">
        <v>0.001211679922598221</v>
      </c>
    </row>
    <row r="68">
      <c r="A68" s="105" t="inlineStr">
        <is>
          <t>TOTAL OPERATING EXPENSES</t>
        </is>
      </c>
      <c r="B68" s="71" t="n">
        <v>-674097.48</v>
      </c>
      <c r="C68" s="106" t="n">
        <v>0.2816518559965709</v>
      </c>
    </row>
    <row r="69">
      <c r="A69" s="102" t="n"/>
      <c r="B69" s="65" t="n"/>
      <c r="C69" s="103" t="n"/>
    </row>
    <row r="70">
      <c r="A70" s="105" t="inlineStr">
        <is>
          <t>EBITDA</t>
        </is>
      </c>
      <c r="B70" s="71" t="n">
        <v>118176.88</v>
      </c>
      <c r="C70" s="106" t="n">
        <v>0.04937674234872388</v>
      </c>
    </row>
    <row r="71">
      <c r="A71" s="90" t="n"/>
      <c r="B71" s="65" t="n"/>
      <c r="C71" s="97" t="n"/>
    </row>
    <row r="72">
      <c r="A72" s="54" t="inlineStr">
        <is>
          <t>J. NON-OPERATING (I+D+A+Tax)</t>
        </is>
      </c>
      <c r="B72" s="67" t="n"/>
      <c r="C72" s="67" t="n"/>
    </row>
    <row r="73">
      <c r="A73" s="64" t="inlineStr">
        <is>
          <t xml:space="preserve">    Write-offs</t>
        </is>
      </c>
      <c r="B73" s="68" t="n">
        <v>-317.81</v>
      </c>
      <c r="C73" s="69" t="n">
        <v>0.0001327875848968761</v>
      </c>
    </row>
    <row r="74">
      <c r="A74" s="134" t="inlineStr">
        <is>
          <t xml:space="preserve">    Less: Depreciation</t>
        </is>
      </c>
      <c r="B74" s="135" t="n">
        <v>-1603838</v>
      </c>
      <c r="C74" s="136" t="n">
        <v>0.6701166564483053</v>
      </c>
    </row>
    <row r="75">
      <c r="A75" t="inlineStr">
        <is>
          <t xml:space="preserve">    Less: Interest Expense</t>
        </is>
      </c>
      <c r="B75" s="78" t="n">
        <v>-65849</v>
      </c>
      <c r="C75" s="79" t="n">
        <v>0.02751307283557595</v>
      </c>
    </row>
    <row r="76">
      <c r="A76" s="70" t="inlineStr">
        <is>
          <t>TOTAL NON-OPERATING</t>
        </is>
      </c>
      <c r="B76" s="71" t="n">
        <v>-1670004.81</v>
      </c>
      <c r="C76" s="74" t="n">
        <v>0.6977625168687781</v>
      </c>
    </row>
    <row r="77">
      <c r="B77" s="62" t="n"/>
      <c r="C77" s="62" t="n"/>
    </row>
    <row r="78">
      <c r="B78" s="62" t="n"/>
      <c r="C78" s="62" t="n"/>
    </row>
    <row r="79">
      <c r="A79" s="70" t="inlineStr">
        <is>
          <t>NET INCOME</t>
        </is>
      </c>
      <c r="B79" s="71" t="n">
        <v>-1551510.12</v>
      </c>
      <c r="C79" s="74" t="n">
        <v>-0.6482529869351574</v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0" customWidth="1" style="2" min="1" max="1"/>
    <col width="17" customWidth="1" style="2" min="2" max="2"/>
    <col width="13" customWidth="1" style="2" min="3" max="3"/>
  </cols>
  <sheetData>
    <row r="1" ht="24" customHeight="1" s="2">
      <c r="A1" s="61" t="inlineStr">
        <is>
          <t>Feb 2025 - PROFIT &amp; LOSS STATEMENT</t>
        </is>
      </c>
    </row>
    <row r="2">
      <c r="A2" s="63" t="inlineStr">
        <is>
          <t>Heatronics Pvt Ltd</t>
        </is>
      </c>
    </row>
    <row r="3">
      <c r="A3" s="81" t="inlineStr">
        <is>
          <t>Generated: 24 Jan 2026</t>
        </is>
      </c>
      <c r="B3" s="51" t="n"/>
      <c r="C3" s="51" t="n"/>
    </row>
    <row r="4">
      <c r="A4" s="64" t="n"/>
      <c r="B4" s="65" t="n"/>
      <c r="C4" s="65" t="n"/>
    </row>
    <row r="5">
      <c r="A5" s="83" t="inlineStr">
        <is>
          <t>Revenue Formula: Net Revenue = Gross Revenue - Returns - Discounts - Taxes (GST)</t>
        </is>
      </c>
      <c r="B5" s="65" t="n"/>
      <c r="C5" s="65" t="n"/>
    </row>
    <row r="6">
      <c r="A6" s="64" t="n"/>
      <c r="B6" s="65" t="n"/>
      <c r="C6" s="65" t="n"/>
    </row>
    <row r="7">
      <c r="A7" s="84" t="inlineStr">
        <is>
          <t>Particulars</t>
        </is>
      </c>
      <c r="B7" s="85" t="inlineStr">
        <is>
          <t>Amount (₹)</t>
        </is>
      </c>
      <c r="C7" s="85" t="inlineStr">
        <is>
          <t>% of Revenue</t>
        </is>
      </c>
    </row>
    <row r="8">
      <c r="A8" s="86" t="inlineStr">
        <is>
          <t>A. GROSS REVENUE (from Sales Register, by channel)</t>
        </is>
      </c>
      <c r="B8" s="67" t="n"/>
      <c r="C8" s="67" t="n"/>
    </row>
    <row r="9">
      <c r="A9" s="87" t="inlineStr">
        <is>
          <t xml:space="preserve">    D2C</t>
        </is>
      </c>
      <c r="B9" s="88" t="n">
        <v>94259.22</v>
      </c>
      <c r="C9" s="89" t="n">
        <v>0.04433889698898156</v>
      </c>
    </row>
    <row r="10">
      <c r="A10" s="87" t="inlineStr">
        <is>
          <t xml:space="preserve">    Amazon</t>
        </is>
      </c>
      <c r="B10" s="88" t="n">
        <v>1174729</v>
      </c>
      <c r="C10" s="89" t="n">
        <v>0.5525845442065966</v>
      </c>
    </row>
    <row r="11">
      <c r="A11" s="87" t="inlineStr">
        <is>
          <t xml:space="preserve">    Blinkit</t>
        </is>
      </c>
      <c r="B11" s="88" t="n">
        <v>28971</v>
      </c>
      <c r="C11" s="89" t="n">
        <v>0.01362776166265522</v>
      </c>
    </row>
    <row r="12">
      <c r="A12" s="87" t="inlineStr">
        <is>
          <t xml:space="preserve">    OEM</t>
        </is>
      </c>
      <c r="B12" s="88" t="n">
        <v>319725</v>
      </c>
      <c r="C12" s="89" t="n">
        <v>0.1503964687995734</v>
      </c>
    </row>
    <row r="13">
      <c r="A13" s="90" t="inlineStr">
        <is>
          <t xml:space="preserve">    Offline</t>
        </is>
      </c>
      <c r="B13" s="91" t="n">
        <v>822197</v>
      </c>
      <c r="C13" s="92" t="n">
        <v>0.3867558853940194</v>
      </c>
    </row>
    <row r="14">
      <c r="A14" s="70" t="inlineStr">
        <is>
          <t>TOTAL GROSS REVENUE</t>
        </is>
      </c>
      <c r="B14" s="71" t="n">
        <v>2439881.22</v>
      </c>
      <c r="C14" s="72" t="n"/>
    </row>
    <row r="15">
      <c r="A15" s="93" t="inlineStr"/>
      <c r="B15" s="65" t="n"/>
      <c r="C15" s="65" t="n"/>
    </row>
    <row r="16">
      <c r="A16" s="94" t="inlineStr">
        <is>
          <t>B. RETURNS</t>
        </is>
      </c>
      <c r="B16" s="67" t="n"/>
      <c r="C16" s="95" t="n"/>
    </row>
    <row r="17">
      <c r="A17" s="87" t="inlineStr">
        <is>
          <t xml:space="preserve">    D2C Returns</t>
        </is>
      </c>
      <c r="B17" s="73" t="n">
        <v>-1250</v>
      </c>
      <c r="C17" s="89" t="n">
        <v>-0.0005879915114534891</v>
      </c>
    </row>
    <row r="18">
      <c r="A18" s="87" t="inlineStr">
        <is>
          <t xml:space="preserve">    Amazon Returns</t>
        </is>
      </c>
      <c r="B18" s="73" t="n">
        <v>-188815</v>
      </c>
      <c r="C18" s="89" t="n">
        <v>-0.08881729378807243</v>
      </c>
    </row>
    <row r="19">
      <c r="A19" s="90" t="inlineStr">
        <is>
          <t xml:space="preserve">    OEM Returns</t>
        </is>
      </c>
      <c r="B19" s="73" t="n">
        <v>-12931</v>
      </c>
      <c r="C19" s="92" t="n">
        <v>-0.006082654587684054</v>
      </c>
    </row>
    <row r="20">
      <c r="A20" s="64" t="inlineStr">
        <is>
          <t xml:space="preserve">    Offline Returns</t>
        </is>
      </c>
      <c r="B20" s="73" t="n">
        <v>-4710</v>
      </c>
      <c r="C20" s="69" t="n">
        <v>-0.002215552015156747</v>
      </c>
    </row>
    <row r="21">
      <c r="A21" s="96" t="inlineStr">
        <is>
          <t>TOTAL RETURNS</t>
        </is>
      </c>
      <c r="B21" s="71" t="n">
        <v>-207706</v>
      </c>
      <c r="C21" s="74" t="n">
        <v>-0.09770349190236671</v>
      </c>
    </row>
    <row r="22">
      <c r="A22" s="90" t="inlineStr"/>
      <c r="B22" s="65" t="n"/>
      <c r="C22" s="97" t="n"/>
    </row>
    <row r="23">
      <c r="A23" s="54" t="inlineStr">
        <is>
          <t>D. TAXES (GST Collected)</t>
        </is>
      </c>
      <c r="B23" s="67" t="n"/>
      <c r="C23" s="67" t="n"/>
    </row>
    <row r="24">
      <c r="A24" s="98" t="inlineStr">
        <is>
          <t>TOTAL TAXES</t>
        </is>
      </c>
      <c r="B24" s="99" t="n">
        <v>-106294.19</v>
      </c>
      <c r="C24" s="100" t="n">
        <v>0.05000006514945948</v>
      </c>
    </row>
    <row r="25">
      <c r="A25" s="64" t="inlineStr"/>
      <c r="B25" s="65" t="n"/>
      <c r="C25" s="65" t="n"/>
    </row>
    <row r="26">
      <c r="A26" s="101" t="inlineStr">
        <is>
          <t>NET REVENUE (external)</t>
        </is>
      </c>
      <c r="B26" s="76" t="n">
        <v>2125881.03</v>
      </c>
      <c r="C26" s="77" t="n">
        <v>1</v>
      </c>
    </row>
    <row r="27">
      <c r="A27" s="102" t="inlineStr"/>
      <c r="B27" s="65" t="n"/>
      <c r="C27" s="103" t="n"/>
    </row>
    <row r="28">
      <c r="A28" s="102" t="inlineStr">
        <is>
          <t>Add: Inter-branch (Internal) Transactions</t>
        </is>
      </c>
      <c r="B28" s="68" t="n">
        <v>525676</v>
      </c>
      <c r="C28" s="104" t="n">
        <v>0.2472744206198595</v>
      </c>
    </row>
    <row r="29">
      <c r="A29" s="105" t="inlineStr">
        <is>
          <t>TURNOVER (Total — audited basis)</t>
        </is>
      </c>
      <c r="B29" s="71" t="n">
        <v>2651557.03</v>
      </c>
      <c r="C29" s="106" t="n">
        <v>1.247274420619859</v>
      </c>
    </row>
    <row r="30">
      <c r="A30" s="102" t="inlineStr"/>
      <c r="B30" s="65" t="n"/>
      <c r="C30" s="103" t="n"/>
    </row>
    <row r="31">
      <c r="A31" s="107" t="inlineStr">
        <is>
          <t>E. COST OF GOODS MANUFACTURED (COGM)</t>
        </is>
      </c>
      <c r="B31" s="67" t="n"/>
      <c r="C31" s="108" t="n"/>
    </row>
    <row r="32">
      <c r="A32" s="102" t="inlineStr">
        <is>
          <t xml:space="preserve">    Raw Materials &amp; Inventory</t>
        </is>
      </c>
      <c r="B32" s="68" t="n">
        <v>-658347.55</v>
      </c>
      <c r="C32" s="104" t="n">
        <v>0.3096822167889612</v>
      </c>
    </row>
    <row r="33">
      <c r="A33" s="90" t="inlineStr">
        <is>
          <t xml:space="preserve">    Consumables</t>
        </is>
      </c>
      <c r="B33" s="68" t="n">
        <v>-5700</v>
      </c>
      <c r="C33" s="92" t="n">
        <v>0.00268124129222791</v>
      </c>
    </row>
    <row r="34">
      <c r="A34" s="64" t="inlineStr">
        <is>
          <t xml:space="preserve">    Factory Maintenance</t>
        </is>
      </c>
      <c r="B34" s="68" t="n">
        <v>-29243</v>
      </c>
      <c r="C34" s="69" t="n">
        <v>0.0137557086155475</v>
      </c>
    </row>
    <row r="35">
      <c r="A35" s="109" t="inlineStr">
        <is>
          <t xml:space="preserve">    Inbound Transport</t>
        </is>
      </c>
      <c r="B35" s="110" t="n">
        <v>-900</v>
      </c>
      <c r="C35" s="111" t="n">
        <v>0.0004233538882465121</v>
      </c>
    </row>
    <row r="36">
      <c r="A36" s="64" t="inlineStr">
        <is>
          <t xml:space="preserve">    Job work</t>
        </is>
      </c>
      <c r="B36" s="68" t="n">
        <v>-51310</v>
      </c>
      <c r="C36" s="69" t="n">
        <v>0.02413587556214282</v>
      </c>
    </row>
    <row r="37">
      <c r="A37" s="93" t="inlineStr">
        <is>
          <t xml:space="preserve">    Manufacturing Wages</t>
        </is>
      </c>
      <c r="B37" s="68" t="n">
        <v>-90000</v>
      </c>
      <c r="C37" s="69" t="n">
        <v>0.04233538882465121</v>
      </c>
    </row>
    <row r="38">
      <c r="A38" s="105" t="inlineStr">
        <is>
          <t>TOTAL COGM</t>
        </is>
      </c>
      <c r="B38" s="71" t="n">
        <v>-177153</v>
      </c>
      <c r="C38" s="106" t="n">
        <v>0.08333156818281595</v>
      </c>
    </row>
    <row r="39">
      <c r="A39" s="102" t="n"/>
      <c r="B39" s="65" t="n"/>
      <c r="C39" s="103" t="n"/>
    </row>
    <row r="40">
      <c r="A40" s="112" t="inlineStr">
        <is>
          <t>GROSS MARGIN</t>
        </is>
      </c>
      <c r="B40" s="71" t="n">
        <v>1290380.48</v>
      </c>
      <c r="C40" s="113" t="n">
        <v>0.6069862150282229</v>
      </c>
    </row>
    <row r="41">
      <c r="A41" s="64" t="n"/>
      <c r="B41" s="65" t="n"/>
      <c r="C41" s="65" t="n"/>
    </row>
    <row r="42">
      <c r="A42" s="114" t="inlineStr">
        <is>
          <t>F. CHANNEL &amp; FULFILLMENT</t>
        </is>
      </c>
      <c r="B42" s="115" t="n"/>
      <c r="C42" s="115" t="n"/>
    </row>
    <row r="43">
      <c r="A43" s="64" t="inlineStr">
        <is>
          <t xml:space="preserve">    Amazon Fees</t>
        </is>
      </c>
      <c r="B43" s="68" t="n">
        <v>-224039.31</v>
      </c>
      <c r="C43" s="69" t="n">
        <v>0.1053865700095174</v>
      </c>
    </row>
    <row r="44">
      <c r="A44" s="93" t="inlineStr">
        <is>
          <t xml:space="preserve">    D2C Fees</t>
        </is>
      </c>
      <c r="B44" s="68" t="n">
        <v>-38693.44</v>
      </c>
      <c r="C44" s="69" t="n">
        <v>0.01820113141514791</v>
      </c>
    </row>
    <row r="45">
      <c r="A45" s="105" t="inlineStr">
        <is>
          <t>TOTAL CHANNEL &amp; FULFILLMENT</t>
        </is>
      </c>
      <c r="B45" s="71" t="n">
        <v>-262732.75</v>
      </c>
      <c r="C45" s="106" t="n">
        <v>0.1235877014246653</v>
      </c>
    </row>
    <row r="46">
      <c r="A46" s="90" t="n"/>
      <c r="B46" s="65" t="n"/>
      <c r="C46" s="97" t="n"/>
    </row>
    <row r="47">
      <c r="A47" s="70" t="inlineStr">
        <is>
          <t>CM1 (Contribution Margin 1)</t>
        </is>
      </c>
      <c r="B47" s="71" t="n">
        <v>1027647.73</v>
      </c>
      <c r="C47" s="74" t="n">
        <v>0.4833985136035576</v>
      </c>
    </row>
    <row r="48">
      <c r="A48" s="116" t="n"/>
      <c r="B48" s="117" t="n"/>
      <c r="C48" s="117" t="n"/>
    </row>
    <row r="49">
      <c r="A49" s="54" t="inlineStr">
        <is>
          <t>G. SALES &amp; MARKETING</t>
        </is>
      </c>
      <c r="B49" s="67" t="n"/>
      <c r="C49" s="67" t="n"/>
    </row>
    <row r="50">
      <c r="A50" s="93" t="inlineStr">
        <is>
          <t xml:space="preserve">    Advertising &amp; Marketing</t>
        </is>
      </c>
      <c r="B50" s="68" t="n">
        <v>-362483.68</v>
      </c>
      <c r="C50" s="69" t="n">
        <v>0.1705098615043383</v>
      </c>
    </row>
    <row r="51">
      <c r="A51" s="105" t="inlineStr">
        <is>
          <t>TOTAL SALES &amp; MARKETING</t>
        </is>
      </c>
      <c r="B51" s="71" t="n">
        <v>-362483.68</v>
      </c>
      <c r="C51" s="106" t="n">
        <v>0.1705098615043383</v>
      </c>
    </row>
    <row r="52">
      <c r="A52" s="90" t="n"/>
      <c r="B52" s="65" t="n"/>
      <c r="C52" s="97" t="n"/>
    </row>
    <row r="53">
      <c r="A53" s="70" t="inlineStr">
        <is>
          <t>CM2 (Contribution Margin 2)</t>
        </is>
      </c>
      <c r="B53" s="71" t="n">
        <v>665164.05</v>
      </c>
      <c r="C53" s="74" t="n">
        <v>0.3128886520992193</v>
      </c>
    </row>
    <row r="54">
      <c r="A54" s="140" t="n"/>
      <c r="B54" s="141" t="n"/>
      <c r="C54" s="141" t="n"/>
    </row>
    <row r="55">
      <c r="A55" s="54" t="inlineStr">
        <is>
          <t>H. PLATFORM COSTS</t>
        </is>
      </c>
      <c r="B55" s="67" t="n"/>
      <c r="C55" s="67" t="n"/>
    </row>
    <row r="56">
      <c r="A56" s="93" t="inlineStr">
        <is>
          <t xml:space="preserve">    Shopify Subscription</t>
        </is>
      </c>
      <c r="B56" s="68" t="n">
        <v>-2278.28</v>
      </c>
      <c r="C56" s="69" t="n">
        <v>0.001071687440571404</v>
      </c>
    </row>
    <row r="57">
      <c r="A57" s="105" t="inlineStr">
        <is>
          <t>TOTAL PLATFORM COSTS</t>
        </is>
      </c>
      <c r="B57" s="71" t="n">
        <v>-2278.28</v>
      </c>
      <c r="C57" s="106" t="n">
        <v>0.001071687440571404</v>
      </c>
    </row>
    <row r="58">
      <c r="A58" s="102" t="n"/>
      <c r="B58" s="65" t="n"/>
      <c r="C58" s="103" t="n"/>
    </row>
    <row r="59">
      <c r="A59" s="105" t="inlineStr">
        <is>
          <t>CM3 (Contribution Margin 3)</t>
        </is>
      </c>
      <c r="B59" s="71" t="n">
        <v>662885.77</v>
      </c>
      <c r="C59" s="106" t="n">
        <v>0.3118169646586479</v>
      </c>
    </row>
    <row r="60">
      <c r="A60" s="102" t="n"/>
      <c r="B60" s="65" t="n"/>
      <c r="C60" s="103" t="n"/>
    </row>
    <row r="61">
      <c r="A61" s="107" t="inlineStr">
        <is>
          <t>I. OPERATING EXPENSES</t>
        </is>
      </c>
      <c r="B61" s="67" t="n"/>
      <c r="C61" s="108" t="n"/>
    </row>
    <row r="62">
      <c r="A62" s="102" t="inlineStr">
        <is>
          <t xml:space="preserve">    Other Operating Expenses</t>
        </is>
      </c>
      <c r="B62" s="68" t="n">
        <v>-16085.28</v>
      </c>
      <c r="C62" s="104" t="n">
        <v>0.007566406479482063</v>
      </c>
    </row>
    <row r="63">
      <c r="A63" s="102" t="inlineStr">
        <is>
          <t xml:space="preserve">    Banks &amp; Finance Charges</t>
        </is>
      </c>
      <c r="B63" s="68" t="n">
        <v>-55275</v>
      </c>
      <c r="C63" s="104" t="n">
        <v>0.02600098463647329</v>
      </c>
    </row>
    <row r="64">
      <c r="A64" s="90" t="inlineStr">
        <is>
          <t xml:space="preserve">    Administrative Expenses</t>
        </is>
      </c>
      <c r="B64" s="68" t="n">
        <v>-191964.93</v>
      </c>
      <c r="C64" s="92" t="n">
        <v>0.09029899946941057</v>
      </c>
    </row>
    <row r="65">
      <c r="A65" s="64" t="inlineStr">
        <is>
          <t xml:space="preserve">    Legal &amp; CA expenses</t>
        </is>
      </c>
      <c r="B65" s="68" t="n">
        <v>-33489.8</v>
      </c>
      <c r="C65" s="69" t="n">
        <v>0.01575337449622005</v>
      </c>
    </row>
    <row r="66">
      <c r="A66" s="120" t="inlineStr">
        <is>
          <t xml:space="preserve">    Miscellaneous (Travel, insurance)</t>
        </is>
      </c>
      <c r="B66" s="121" t="n">
        <v>-46356.11</v>
      </c>
      <c r="C66" s="122" t="n">
        <v>0.02180559934720336</v>
      </c>
    </row>
    <row r="67">
      <c r="A67" s="64" t="inlineStr">
        <is>
          <t xml:space="preserve">    Salaries (Admin Mgmt)</t>
        </is>
      </c>
      <c r="B67" s="68" t="n">
        <v>-307300</v>
      </c>
      <c r="C67" s="69" t="n">
        <v>0.1445518331757258</v>
      </c>
    </row>
    <row r="68">
      <c r="A68" s="93" t="inlineStr">
        <is>
          <t xml:space="preserve">    Staff Welfare &amp; Events</t>
        </is>
      </c>
      <c r="B68" s="68" t="n">
        <v>-1060</v>
      </c>
      <c r="C68" s="69" t="n">
        <v>0.0004986168017125588</v>
      </c>
    </row>
    <row r="69">
      <c r="A69" s="105" t="inlineStr">
        <is>
          <t>TOTAL OPERATING EXPENSES</t>
        </is>
      </c>
      <c r="B69" s="71" t="n">
        <v>-651531.12</v>
      </c>
      <c r="C69" s="106" t="n">
        <v>0.3064758144062276</v>
      </c>
    </row>
    <row r="70">
      <c r="A70" s="90" t="n"/>
      <c r="B70" s="65" t="n"/>
      <c r="C70" s="97" t="n"/>
    </row>
    <row r="71">
      <c r="A71" s="70" t="inlineStr">
        <is>
          <t>EBITDA</t>
        </is>
      </c>
      <c r="B71" s="71" t="n">
        <v>11354.65</v>
      </c>
      <c r="C71" s="74" t="n">
        <v>0.005341150252420287</v>
      </c>
    </row>
    <row r="72">
      <c r="A72" s="64" t="n"/>
      <c r="B72" s="65" t="n"/>
      <c r="C72" s="65" t="n"/>
    </row>
    <row r="73">
      <c r="A73" s="142" t="inlineStr">
        <is>
          <t>J. NON-OPERATING (I+D+A+Tax)</t>
        </is>
      </c>
      <c r="B73" s="143" t="n"/>
      <c r="C73" s="143" t="n"/>
    </row>
    <row r="74">
      <c r="A74" t="inlineStr">
        <is>
          <t xml:space="preserve">    Less: Interest Expense</t>
        </is>
      </c>
      <c r="B74" s="78" t="n">
        <v>-55393</v>
      </c>
      <c r="C74" s="79" t="n">
        <v>0.02605649103515449</v>
      </c>
    </row>
    <row r="75">
      <c r="A75" s="70" t="inlineStr">
        <is>
          <t>TOTAL NON-OPERATING</t>
        </is>
      </c>
      <c r="B75" s="71" t="n">
        <v>-55393</v>
      </c>
      <c r="C75" s="74" t="n">
        <v>0.02605649103515449</v>
      </c>
    </row>
    <row r="76">
      <c r="B76" s="62" t="n"/>
      <c r="C76" s="62" t="n"/>
    </row>
    <row r="77">
      <c r="B77" s="62" t="n"/>
      <c r="C77" s="62" t="n"/>
    </row>
    <row r="78">
      <c r="A78" s="70" t="inlineStr">
        <is>
          <t>NET INCOME</t>
        </is>
      </c>
      <c r="B78" s="71" t="n">
        <v>-44038.35</v>
      </c>
      <c r="C78" s="74" t="n">
        <v>-0.02071534078273421</v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0" customWidth="1" style="2" min="1" max="1"/>
    <col width="17" customWidth="1" style="2" min="2" max="2"/>
    <col width="13" customWidth="1" style="2" min="3" max="3"/>
  </cols>
  <sheetData>
    <row r="1" ht="24" customHeight="1" s="2">
      <c r="A1" s="61" t="inlineStr">
        <is>
          <t>Jan 2025 - PROFIT &amp; LOSS STATEMENT</t>
        </is>
      </c>
    </row>
    <row r="2">
      <c r="A2" s="63" t="inlineStr">
        <is>
          <t>Heatronics Pvt Ltd</t>
        </is>
      </c>
    </row>
    <row r="3">
      <c r="A3" s="81" t="inlineStr">
        <is>
          <t>Generated: 24 Jan 2026</t>
        </is>
      </c>
      <c r="B3" s="51" t="n"/>
      <c r="C3" s="51" t="n"/>
    </row>
    <row r="4">
      <c r="A4" s="64" t="n"/>
      <c r="B4" s="65" t="n"/>
      <c r="C4" s="65" t="n"/>
    </row>
    <row r="5">
      <c r="A5" s="83" t="inlineStr">
        <is>
          <t>Revenue Formula: Net Revenue = Gross Revenue - Returns - Discounts - Taxes (GST)</t>
        </is>
      </c>
      <c r="B5" s="65" t="n"/>
      <c r="C5" s="65" t="n"/>
    </row>
    <row r="6">
      <c r="A6" s="64" t="n"/>
      <c r="B6" s="65" t="n"/>
      <c r="C6" s="65" t="n"/>
    </row>
    <row r="7">
      <c r="A7" s="84" t="inlineStr">
        <is>
          <t>Particulars</t>
        </is>
      </c>
      <c r="B7" s="85" t="inlineStr">
        <is>
          <t>Amount (₹)</t>
        </is>
      </c>
      <c r="C7" s="85" t="inlineStr">
        <is>
          <t>% of Revenue</t>
        </is>
      </c>
    </row>
    <row r="8">
      <c r="A8" s="86" t="inlineStr">
        <is>
          <t>A. GROSS REVENUE (from Sales Register, by channel)</t>
        </is>
      </c>
      <c r="B8" s="67" t="n"/>
      <c r="C8" s="67" t="n"/>
    </row>
    <row r="9">
      <c r="A9" s="87" t="inlineStr">
        <is>
          <t xml:space="preserve">    D2C</t>
        </is>
      </c>
      <c r="B9" s="88" t="n">
        <v>62274.23</v>
      </c>
      <c r="C9" s="89" t="n">
        <v>0.01246405264727223</v>
      </c>
    </row>
    <row r="10">
      <c r="A10" s="87" t="inlineStr">
        <is>
          <t xml:space="preserve">    Amazon</t>
        </is>
      </c>
      <c r="B10" s="88" t="n">
        <v>4968587</v>
      </c>
      <c r="C10" s="89" t="n">
        <v>0.9944519579054186</v>
      </c>
    </row>
    <row r="11">
      <c r="A11" s="87" t="inlineStr">
        <is>
          <t xml:space="preserve">    OEM</t>
        </is>
      </c>
      <c r="B11" s="88" t="n">
        <v>220117</v>
      </c>
      <c r="C11" s="89" t="n">
        <v>0.04405594218603136</v>
      </c>
    </row>
    <row r="12">
      <c r="A12" s="90" t="inlineStr">
        <is>
          <t xml:space="preserve">    Offline</t>
        </is>
      </c>
      <c r="B12" s="91" t="n">
        <v>960306</v>
      </c>
      <c r="C12" s="92" t="n">
        <v>0.1922031720262362</v>
      </c>
    </row>
    <row r="13">
      <c r="A13" s="70" t="inlineStr">
        <is>
          <t>TOTAL GROSS REVENUE</t>
        </is>
      </c>
      <c r="B13" s="71" t="n">
        <v>6211284.23</v>
      </c>
      <c r="C13" s="72" t="n"/>
    </row>
    <row r="14">
      <c r="A14" s="93" t="inlineStr"/>
      <c r="B14" s="65" t="n"/>
      <c r="C14" s="65" t="n"/>
    </row>
    <row r="15">
      <c r="A15" s="94" t="inlineStr">
        <is>
          <t>B. RETURNS</t>
        </is>
      </c>
      <c r="B15" s="67" t="n"/>
      <c r="C15" s="95" t="n"/>
    </row>
    <row r="16">
      <c r="A16" s="87" t="inlineStr">
        <is>
          <t xml:space="preserve">    D2C Returns</t>
        </is>
      </c>
      <c r="B16" s="73" t="n">
        <v>-2890</v>
      </c>
      <c r="C16" s="89" t="n">
        <v>-0.0005784272587652505</v>
      </c>
    </row>
    <row r="17">
      <c r="A17" s="87" t="inlineStr">
        <is>
          <t xml:space="preserve">    Amazon Returns</t>
        </is>
      </c>
      <c r="B17" s="73" t="n">
        <v>-935390</v>
      </c>
      <c r="C17" s="89" t="n">
        <v>-0.1872162884347501</v>
      </c>
    </row>
    <row r="18">
      <c r="A18" s="90" t="inlineStr">
        <is>
          <t xml:space="preserve">    OEM Returns</t>
        </is>
      </c>
      <c r="B18" s="73" t="n">
        <v>-3176</v>
      </c>
      <c r="C18" s="92" t="n">
        <v>-0.0006356695411205659</v>
      </c>
    </row>
    <row r="19">
      <c r="A19" s="64" t="inlineStr">
        <is>
          <t xml:space="preserve">    Offline Returns</t>
        </is>
      </c>
      <c r="B19" s="73" t="n">
        <v>-23721</v>
      </c>
      <c r="C19" s="69" t="n">
        <v>-0.004747706922204328</v>
      </c>
    </row>
    <row r="20">
      <c r="A20" s="96" t="inlineStr">
        <is>
          <t>TOTAL RETURNS</t>
        </is>
      </c>
      <c r="B20" s="71" t="n">
        <v>-965177</v>
      </c>
      <c r="C20" s="74" t="n">
        <v>-0.1931780921568402</v>
      </c>
    </row>
    <row r="21">
      <c r="A21" s="90" t="inlineStr"/>
      <c r="B21" s="65" t="n"/>
      <c r="C21" s="97" t="n"/>
    </row>
    <row r="22">
      <c r="A22" s="54" t="inlineStr">
        <is>
          <t>D. TAXES (GST Collected)</t>
        </is>
      </c>
      <c r="B22" s="67" t="n"/>
      <c r="C22" s="67" t="n"/>
    </row>
    <row r="23">
      <c r="A23" s="98" t="inlineStr">
        <is>
          <t>TOTAL TAXES</t>
        </is>
      </c>
      <c r="B23" s="99" t="n">
        <v>-249800.51</v>
      </c>
      <c r="C23" s="100" t="n">
        <v>0.04999703260811818</v>
      </c>
    </row>
    <row r="24">
      <c r="A24" s="64" t="inlineStr"/>
      <c r="B24" s="65" t="n"/>
      <c r="C24" s="65" t="n"/>
    </row>
    <row r="25">
      <c r="A25" s="101" t="inlineStr">
        <is>
          <t>NET REVENUE (external)</t>
        </is>
      </c>
      <c r="B25" s="76" t="n">
        <v>4996306.72</v>
      </c>
      <c r="C25" s="77" t="n">
        <v>1</v>
      </c>
    </row>
    <row r="26">
      <c r="A26" s="102" t="inlineStr"/>
      <c r="B26" s="65" t="n"/>
      <c r="C26" s="103" t="n"/>
    </row>
    <row r="27">
      <c r="A27" s="102" t="inlineStr">
        <is>
          <t>Add: Inter-branch (Internal) Transactions</t>
        </is>
      </c>
      <c r="B27" s="68" t="n">
        <v>438544</v>
      </c>
      <c r="C27" s="104" t="n">
        <v>0.08777363452178133</v>
      </c>
    </row>
    <row r="28">
      <c r="A28" s="105" t="inlineStr">
        <is>
          <t>TURNOVER (Total — audited basis)</t>
        </is>
      </c>
      <c r="B28" s="71" t="n">
        <v>5434850.72</v>
      </c>
      <c r="C28" s="106" t="n">
        <v>1.087773634521781</v>
      </c>
    </row>
    <row r="29">
      <c r="A29" s="102" t="inlineStr"/>
      <c r="B29" s="65" t="n"/>
      <c r="C29" s="103" t="n"/>
    </row>
    <row r="30">
      <c r="A30" s="107" t="inlineStr">
        <is>
          <t>E. COST OF GOODS MANUFACTURED (COGM)</t>
        </is>
      </c>
      <c r="B30" s="67" t="n"/>
      <c r="C30" s="108" t="n"/>
    </row>
    <row r="31">
      <c r="A31" s="90" t="inlineStr">
        <is>
          <t xml:space="preserve">    Raw Materials &amp; Inventory</t>
        </is>
      </c>
      <c r="B31" s="68" t="n">
        <v>-1547267.34</v>
      </c>
      <c r="C31" s="92" t="n">
        <v>0.3096822166274051</v>
      </c>
    </row>
    <row r="32">
      <c r="A32" s="64" t="inlineStr">
        <is>
          <t xml:space="preserve">    Factory Maintenance</t>
        </is>
      </c>
      <c r="B32" s="68" t="n">
        <v>-30130</v>
      </c>
      <c r="C32" s="69" t="n">
        <v>0.006030454431348442</v>
      </c>
    </row>
    <row r="33">
      <c r="A33" s="109" t="inlineStr">
        <is>
          <t xml:space="preserve">    Inbound Transport</t>
        </is>
      </c>
      <c r="B33" s="110" t="n">
        <v>-9519.690000000001</v>
      </c>
      <c r="C33" s="111" t="n">
        <v>0.001905345394807948</v>
      </c>
    </row>
    <row r="34">
      <c r="A34" s="64" t="inlineStr">
        <is>
          <t xml:space="preserve">    Job work</t>
        </is>
      </c>
      <c r="B34" s="68" t="n">
        <v>-143759.6</v>
      </c>
      <c r="C34" s="69" t="n">
        <v>0.028773173477228</v>
      </c>
    </row>
    <row r="35">
      <c r="A35" s="93" t="inlineStr">
        <is>
          <t xml:space="preserve">    Manufacturing Wages</t>
        </is>
      </c>
      <c r="B35" s="68" t="n">
        <v>-30000</v>
      </c>
      <c r="C35" s="69" t="n">
        <v>0.006004435212096026</v>
      </c>
    </row>
    <row r="36">
      <c r="A36" s="105" t="inlineStr">
        <is>
          <t>TOTAL COGM</t>
        </is>
      </c>
      <c r="B36" s="71" t="n">
        <v>-213409.29</v>
      </c>
      <c r="C36" s="106" t="n">
        <v>0.04271340851548042</v>
      </c>
    </row>
    <row r="37">
      <c r="A37" s="102" t="n"/>
      <c r="B37" s="65" t="n"/>
      <c r="C37" s="103" t="n"/>
    </row>
    <row r="38">
      <c r="A38" s="112" t="inlineStr">
        <is>
          <t>GROSS MARGIN</t>
        </is>
      </c>
      <c r="B38" s="71" t="n">
        <v>3235630.09</v>
      </c>
      <c r="C38" s="113" t="n">
        <v>0.6476043748571144</v>
      </c>
    </row>
    <row r="39">
      <c r="A39" s="64" t="n"/>
      <c r="B39" s="65" t="n"/>
      <c r="C39" s="65" t="n"/>
    </row>
    <row r="40">
      <c r="A40" s="114" t="inlineStr">
        <is>
          <t>F. CHANNEL &amp; FULFILLMENT</t>
        </is>
      </c>
      <c r="B40" s="115" t="n"/>
      <c r="C40" s="115" t="n"/>
    </row>
    <row r="41">
      <c r="A41" s="64" t="inlineStr">
        <is>
          <t xml:space="preserve">    Amazon Fees</t>
        </is>
      </c>
      <c r="B41" s="68" t="n">
        <v>-825339.02</v>
      </c>
      <c r="C41" s="69" t="n">
        <v>0.1651898224534942</v>
      </c>
    </row>
    <row r="42">
      <c r="A42" s="93" t="inlineStr">
        <is>
          <t xml:space="preserve">    D2C Fees</t>
        </is>
      </c>
      <c r="B42" s="68" t="n">
        <v>-43320.67</v>
      </c>
      <c r="C42" s="69" t="n">
        <v>0.008670538545319732</v>
      </c>
    </row>
    <row r="43">
      <c r="A43" s="105" t="inlineStr">
        <is>
          <t>TOTAL CHANNEL &amp; FULFILLMENT</t>
        </is>
      </c>
      <c r="B43" s="71" t="n">
        <v>-868659.6899999999</v>
      </c>
      <c r="C43" s="106" t="n">
        <v>0.1738603609988139</v>
      </c>
    </row>
    <row r="44">
      <c r="A44" s="90" t="n"/>
      <c r="B44" s="65" t="n"/>
      <c r="C44" s="97" t="n"/>
    </row>
    <row r="45">
      <c r="A45" s="70" t="inlineStr">
        <is>
          <t>CM1 (Contribution Margin 1)</t>
        </is>
      </c>
      <c r="B45" s="71" t="n">
        <v>2366970.4</v>
      </c>
      <c r="C45" s="74" t="n">
        <v>0.4737440138583005</v>
      </c>
    </row>
    <row r="46">
      <c r="A46" s="116" t="n"/>
      <c r="B46" s="117" t="n"/>
      <c r="C46" s="117" t="n"/>
    </row>
    <row r="47">
      <c r="A47" s="54" t="inlineStr">
        <is>
          <t>G. SALES &amp; MARKETING</t>
        </is>
      </c>
      <c r="B47" s="67" t="n"/>
      <c r="C47" s="67" t="n"/>
    </row>
    <row r="48">
      <c r="A48" s="93" t="inlineStr">
        <is>
          <t xml:space="preserve">    Advertising &amp; Marketing</t>
        </is>
      </c>
      <c r="B48" s="68" t="n">
        <v>-1471299.14</v>
      </c>
      <c r="C48" s="69" t="n">
        <v>0.2944773454580867</v>
      </c>
    </row>
    <row r="49">
      <c r="A49" s="105" t="inlineStr">
        <is>
          <t>TOTAL SALES &amp; MARKETING</t>
        </is>
      </c>
      <c r="B49" s="71" t="n">
        <v>-1471299.14</v>
      </c>
      <c r="C49" s="106" t="n">
        <v>0.2944773454580867</v>
      </c>
    </row>
    <row r="50">
      <c r="A50" s="90" t="n"/>
      <c r="B50" s="65" t="n"/>
      <c r="C50" s="97" t="n"/>
    </row>
    <row r="51">
      <c r="A51" s="70" t="inlineStr">
        <is>
          <t>CM2 (Contribution Margin 2)</t>
        </is>
      </c>
      <c r="B51" s="71" t="n">
        <v>895671.26</v>
      </c>
      <c r="C51" s="74" t="n">
        <v>0.1792666684002139</v>
      </c>
    </row>
    <row r="52">
      <c r="A52" s="140" t="n"/>
      <c r="B52" s="141" t="n"/>
      <c r="C52" s="141" t="n"/>
    </row>
    <row r="53">
      <c r="A53" s="54" t="inlineStr">
        <is>
          <t>H. PLATFORM COSTS</t>
        </is>
      </c>
      <c r="B53" s="67" t="n"/>
      <c r="C53" s="67" t="n"/>
    </row>
    <row r="54">
      <c r="A54" s="93" t="inlineStr">
        <is>
          <t xml:space="preserve">    Shopify Subscription</t>
        </is>
      </c>
      <c r="B54" s="68" t="n">
        <v>-1342.01</v>
      </c>
      <c r="C54" s="69" t="n">
        <v>0.0002686004032994996</v>
      </c>
    </row>
    <row r="55">
      <c r="A55" s="105" t="inlineStr">
        <is>
          <t>TOTAL PLATFORM COSTS</t>
        </is>
      </c>
      <c r="B55" s="71" t="n">
        <v>-1342.01</v>
      </c>
      <c r="C55" s="106" t="n">
        <v>0.0002686004032994996</v>
      </c>
    </row>
    <row r="56">
      <c r="A56" s="102" t="n"/>
      <c r="B56" s="65" t="n"/>
      <c r="C56" s="103" t="n"/>
    </row>
    <row r="57">
      <c r="A57" s="105" t="inlineStr">
        <is>
          <t>CM3 (Contribution Margin 3)</t>
        </is>
      </c>
      <c r="B57" s="71" t="n">
        <v>894329.25</v>
      </c>
      <c r="C57" s="106" t="n">
        <v>0.1789980679969143</v>
      </c>
    </row>
    <row r="58">
      <c r="A58" s="102" t="n"/>
      <c r="B58" s="65" t="n"/>
      <c r="C58" s="103" t="n"/>
    </row>
    <row r="59">
      <c r="A59" s="107" t="inlineStr">
        <is>
          <t>I. OPERATING EXPENSES</t>
        </is>
      </c>
      <c r="B59" s="67" t="n"/>
      <c r="C59" s="108" t="n"/>
    </row>
    <row r="60">
      <c r="A60" s="102" t="inlineStr">
        <is>
          <t xml:space="preserve">    Other Operating Expenses</t>
        </is>
      </c>
      <c r="B60" s="68" t="n">
        <v>-19910.62</v>
      </c>
      <c r="C60" s="104" t="n">
        <v>0.003985067594088779</v>
      </c>
    </row>
    <row r="61">
      <c r="A61" s="102" t="inlineStr">
        <is>
          <t xml:space="preserve">    Banks &amp; Finance Charges</t>
        </is>
      </c>
      <c r="B61" s="68" t="n">
        <v>-35433.59</v>
      </c>
      <c r="C61" s="104" t="n">
        <v>0.007091956516232453</v>
      </c>
    </row>
    <row r="62">
      <c r="A62" s="90" t="inlineStr">
        <is>
          <t xml:space="preserve">    Miscellaneous (Travel, insurance)</t>
        </is>
      </c>
      <c r="B62" s="68" t="n">
        <v>-50186</v>
      </c>
      <c r="C62" s="92" t="n">
        <v>0.01004461951847504</v>
      </c>
    </row>
    <row r="63">
      <c r="A63" s="64" t="inlineStr">
        <is>
          <t xml:space="preserve">    Salaries (Admin Mgmt)</t>
        </is>
      </c>
      <c r="B63" s="68" t="n">
        <v>-333223</v>
      </c>
      <c r="C63" s="69" t="n">
        <v>0.06669386382267581</v>
      </c>
    </row>
    <row r="64">
      <c r="A64" s="120" t="inlineStr">
        <is>
          <t xml:space="preserve">    Legal &amp; CA expenses</t>
        </is>
      </c>
      <c r="B64" s="121" t="n">
        <v>-7500</v>
      </c>
      <c r="C64" s="122" t="n">
        <v>0.001501108803024007</v>
      </c>
    </row>
    <row r="65">
      <c r="A65" s="64" t="inlineStr">
        <is>
          <t xml:space="preserve">    Administrative Expenses</t>
        </is>
      </c>
      <c r="B65" s="68" t="n">
        <v>-176404.88</v>
      </c>
      <c r="C65" s="69" t="n">
        <v>0.0353070557685858</v>
      </c>
    </row>
    <row r="66">
      <c r="A66" s="93" t="inlineStr">
        <is>
          <t xml:space="preserve">    Staff Welfare &amp; Events</t>
        </is>
      </c>
      <c r="B66" s="68" t="n">
        <v>-4042</v>
      </c>
      <c r="C66" s="69" t="n">
        <v>0.000808997570909738</v>
      </c>
    </row>
    <row r="67">
      <c r="A67" s="105" t="inlineStr">
        <is>
          <t>TOTAL OPERATING EXPENSES</t>
        </is>
      </c>
      <c r="B67" s="71" t="n">
        <v>-626700.09</v>
      </c>
      <c r="C67" s="106" t="n">
        <v>0.1254326695939916</v>
      </c>
    </row>
    <row r="68">
      <c r="A68" s="90" t="n"/>
      <c r="B68" s="65" t="n"/>
      <c r="C68" s="97" t="n"/>
    </row>
    <row r="69">
      <c r="A69" s="70" t="inlineStr">
        <is>
          <t>EBITDA</t>
        </is>
      </c>
      <c r="B69" s="71" t="n">
        <v>267629.16</v>
      </c>
      <c r="C69" s="74" t="n">
        <v>0.05356539840292271</v>
      </c>
    </row>
    <row r="70">
      <c r="A70" s="64" t="n"/>
      <c r="B70" s="65" t="n"/>
      <c r="C70" s="65" t="n"/>
    </row>
    <row r="71">
      <c r="A71" s="123" t="inlineStr">
        <is>
          <t>J. NON-OPERATING (I+D+A+Tax)</t>
        </is>
      </c>
      <c r="B71" s="124" t="n"/>
      <c r="C71" s="124" t="n"/>
    </row>
    <row r="72">
      <c r="A72" t="inlineStr">
        <is>
          <t xml:space="preserve">    Less: Interest Expense</t>
        </is>
      </c>
      <c r="B72" s="78" t="n">
        <v>-58987</v>
      </c>
      <c r="C72" s="79" t="n">
        <v>0.01180612066186361</v>
      </c>
    </row>
    <row r="73">
      <c r="A73" s="70" t="inlineStr">
        <is>
          <t>TOTAL NON-OPERATING</t>
        </is>
      </c>
      <c r="B73" s="71" t="n">
        <v>-58987</v>
      </c>
      <c r="C73" s="74" t="n">
        <v>0.01180612066186361</v>
      </c>
    </row>
    <row r="74">
      <c r="B74" s="62" t="n"/>
      <c r="C74" s="62" t="n"/>
    </row>
    <row r="75">
      <c r="B75" s="62" t="n"/>
      <c r="C75" s="62" t="n"/>
    </row>
    <row r="76">
      <c r="A76" s="70" t="inlineStr">
        <is>
          <t>NET INCOME</t>
        </is>
      </c>
      <c r="B76" s="71" t="n">
        <v>208642.16</v>
      </c>
      <c r="C76" s="74" t="n">
        <v>0.0417592777410591</v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0" customWidth="1" style="2" min="1" max="1"/>
    <col width="17" customWidth="1" style="2" min="2" max="2"/>
    <col width="13" customWidth="1" style="2" min="3" max="3"/>
  </cols>
  <sheetData>
    <row r="1" ht="24" customHeight="1" s="2">
      <c r="A1" s="61" t="inlineStr">
        <is>
          <t>Dec 2024 - PROFIT &amp; LOSS STATEMENT</t>
        </is>
      </c>
    </row>
    <row r="2">
      <c r="A2" s="63" t="inlineStr">
        <is>
          <t>Heatronics Pvt Ltd</t>
        </is>
      </c>
    </row>
    <row r="3">
      <c r="A3" s="81" t="inlineStr">
        <is>
          <t>Generated: 24 Jan 2026</t>
        </is>
      </c>
      <c r="B3" s="51" t="n"/>
      <c r="C3" s="51" t="n"/>
    </row>
    <row r="4">
      <c r="A4" s="64" t="n"/>
      <c r="B4" s="65" t="n"/>
      <c r="C4" s="65" t="n"/>
    </row>
    <row r="5">
      <c r="A5" s="83" t="inlineStr">
        <is>
          <t>Revenue Formula: Net Revenue = Gross Revenue - Returns - Discounts - Taxes (GST)</t>
        </is>
      </c>
      <c r="B5" s="65" t="n"/>
      <c r="C5" s="65" t="n"/>
    </row>
    <row r="6">
      <c r="A6" s="64" t="n"/>
      <c r="B6" s="65" t="n"/>
      <c r="C6" s="65" t="n"/>
    </row>
    <row r="7">
      <c r="A7" s="84" t="inlineStr">
        <is>
          <t>Particulars</t>
        </is>
      </c>
      <c r="B7" s="85" t="inlineStr">
        <is>
          <t>Amount (₹)</t>
        </is>
      </c>
      <c r="C7" s="85" t="inlineStr">
        <is>
          <t>% of Revenue</t>
        </is>
      </c>
    </row>
    <row r="8">
      <c r="A8" s="86" t="inlineStr">
        <is>
          <t>A. GROSS REVENUE (from Sales Register, by channel)</t>
        </is>
      </c>
      <c r="B8" s="67" t="n"/>
      <c r="C8" s="67" t="n"/>
    </row>
    <row r="9">
      <c r="A9" s="87" t="inlineStr">
        <is>
          <t xml:space="preserve">    D2C</t>
        </is>
      </c>
      <c r="B9" s="88" t="n">
        <v>51165.05</v>
      </c>
      <c r="C9" s="89" t="n">
        <v>0.007427521793465763</v>
      </c>
    </row>
    <row r="10">
      <c r="A10" s="87" t="inlineStr">
        <is>
          <t xml:space="preserve">    Amazon</t>
        </is>
      </c>
      <c r="B10" s="88" t="n">
        <v>5696766</v>
      </c>
      <c r="C10" s="89" t="n">
        <v>0.8269874380514585</v>
      </c>
    </row>
    <row r="11">
      <c r="A11" s="87" t="inlineStr">
        <is>
          <t xml:space="preserve">    OEM</t>
        </is>
      </c>
      <c r="B11" s="88" t="n">
        <v>735703</v>
      </c>
      <c r="C11" s="89" t="n">
        <v>0.1068004441707404</v>
      </c>
    </row>
    <row r="12">
      <c r="A12" s="90" t="inlineStr">
        <is>
          <t xml:space="preserve">    Offline</t>
        </is>
      </c>
      <c r="B12" s="91" t="n">
        <v>1602169</v>
      </c>
      <c r="C12" s="92" t="n">
        <v>0.2325834757185862</v>
      </c>
    </row>
    <row r="13">
      <c r="A13" s="70" t="inlineStr">
        <is>
          <t>TOTAL GROSS REVENUE</t>
        </is>
      </c>
      <c r="B13" s="71" t="n">
        <v>8085803.05</v>
      </c>
      <c r="C13" s="72" t="n"/>
    </row>
    <row r="14">
      <c r="A14" s="93" t="inlineStr"/>
      <c r="B14" s="65" t="n"/>
      <c r="C14" s="65" t="n"/>
    </row>
    <row r="15">
      <c r="A15" s="94" t="inlineStr">
        <is>
          <t>B. RETURNS</t>
        </is>
      </c>
      <c r="B15" s="67" t="n"/>
      <c r="C15" s="95" t="n"/>
    </row>
    <row r="16">
      <c r="A16" s="87" t="inlineStr">
        <is>
          <t xml:space="preserve">    Amazon Returns</t>
        </is>
      </c>
      <c r="B16" s="73" t="n">
        <v>-802433</v>
      </c>
      <c r="C16" s="89" t="n">
        <v>-0.1164874967442837</v>
      </c>
    </row>
    <row r="17">
      <c r="A17" s="90" t="inlineStr">
        <is>
          <t xml:space="preserve">    OEM Returns</t>
        </is>
      </c>
      <c r="B17" s="73" t="n">
        <v>-36792</v>
      </c>
      <c r="C17" s="92" t="n">
        <v>-0.005341016608508979</v>
      </c>
    </row>
    <row r="18">
      <c r="A18" s="64" t="inlineStr">
        <is>
          <t xml:space="preserve">    Offline Returns</t>
        </is>
      </c>
      <c r="B18" s="73" t="n">
        <v>-12026</v>
      </c>
      <c r="C18" s="69" t="n">
        <v>-0.001745788914272912</v>
      </c>
    </row>
    <row r="19">
      <c r="A19" s="96" t="inlineStr">
        <is>
          <t>TOTAL RETURNS</t>
        </is>
      </c>
      <c r="B19" s="71" t="n">
        <v>-851251</v>
      </c>
      <c r="C19" s="74" t="n">
        <v>-0.1235743022670656</v>
      </c>
    </row>
    <row r="20">
      <c r="A20" s="90" t="inlineStr"/>
      <c r="B20" s="65" t="n"/>
      <c r="C20" s="97" t="n"/>
    </row>
    <row r="21">
      <c r="A21" s="54" t="inlineStr">
        <is>
          <t>D. TAXES (GST Collected)</t>
        </is>
      </c>
      <c r="B21" s="67" t="n"/>
      <c r="C21" s="67" t="n"/>
    </row>
    <row r="22">
      <c r="A22" s="98" t="inlineStr">
        <is>
          <t>TOTAL TAXES</t>
        </is>
      </c>
      <c r="B22" s="99" t="n">
        <v>-345975.83</v>
      </c>
      <c r="C22" s="100" t="n">
        <v>0.05022457746718523</v>
      </c>
    </row>
    <row r="23">
      <c r="A23" s="64" t="inlineStr"/>
      <c r="B23" s="65" t="n"/>
      <c r="C23" s="65" t="n"/>
    </row>
    <row r="24">
      <c r="A24" s="101" t="inlineStr">
        <is>
          <t>NET REVENUE (external)</t>
        </is>
      </c>
      <c r="B24" s="76" t="n">
        <v>6888576.22</v>
      </c>
      <c r="C24" s="77" t="n">
        <v>1</v>
      </c>
    </row>
    <row r="25">
      <c r="A25" s="102" t="inlineStr"/>
      <c r="B25" s="65" t="n"/>
      <c r="C25" s="103" t="n"/>
    </row>
    <row r="26">
      <c r="A26" s="102" t="inlineStr">
        <is>
          <t>Add: Inter-branch (Internal) Transactions</t>
        </is>
      </c>
      <c r="B26" s="68" t="n">
        <v>442916</v>
      </c>
      <c r="C26" s="104" t="n">
        <v>0.06429717634742234</v>
      </c>
    </row>
    <row r="27">
      <c r="A27" s="105" t="inlineStr">
        <is>
          <t>TURNOVER (Total — audited basis)</t>
        </is>
      </c>
      <c r="B27" s="71" t="n">
        <v>7331492.22</v>
      </c>
      <c r="C27" s="106" t="n">
        <v>1.064297176347422</v>
      </c>
    </row>
    <row r="28">
      <c r="A28" s="102" t="inlineStr"/>
      <c r="B28" s="65" t="n"/>
      <c r="C28" s="103" t="n"/>
    </row>
    <row r="29">
      <c r="A29" s="107" t="inlineStr">
        <is>
          <t>E. COST OF GOODS MANUFACTURED (COGM)</t>
        </is>
      </c>
      <c r="B29" s="67" t="n"/>
      <c r="C29" s="108" t="n"/>
    </row>
    <row r="30">
      <c r="A30" s="102" t="inlineStr">
        <is>
          <t xml:space="preserve">    Raw Materials &amp; Inventory</t>
        </is>
      </c>
      <c r="B30" s="68" t="n">
        <v>-2133269.55</v>
      </c>
      <c r="C30" s="104" t="n">
        <v>0.3096822161604826</v>
      </c>
    </row>
    <row r="31">
      <c r="A31" s="90" t="inlineStr">
        <is>
          <t xml:space="preserve">    Consumables</t>
        </is>
      </c>
      <c r="B31" s="68" t="n">
        <v>-2270</v>
      </c>
      <c r="C31" s="92" t="n">
        <v>0.0003295310855978306</v>
      </c>
    </row>
    <row r="32">
      <c r="A32" s="64" t="inlineStr">
        <is>
          <t xml:space="preserve">    Factory Maintenance</t>
        </is>
      </c>
      <c r="B32" s="68" t="n">
        <v>-28535</v>
      </c>
      <c r="C32" s="69" t="n">
        <v>0.00414236543063176</v>
      </c>
    </row>
    <row r="33">
      <c r="A33" s="109" t="inlineStr">
        <is>
          <t xml:space="preserve">    Inbound Transport</t>
        </is>
      </c>
      <c r="B33" s="110" t="n">
        <v>-11017.26</v>
      </c>
      <c r="C33" s="111" t="n">
        <v>0.001599352267891434</v>
      </c>
    </row>
    <row r="34">
      <c r="A34" s="64" t="inlineStr">
        <is>
          <t xml:space="preserve">    Job work</t>
        </is>
      </c>
      <c r="B34" s="68" t="n">
        <v>-188299.95</v>
      </c>
      <c r="C34" s="69" t="n">
        <v>0.027335104379523</v>
      </c>
    </row>
    <row r="35">
      <c r="A35" s="93" t="inlineStr">
        <is>
          <t xml:space="preserve">    Manufacturing Wages</t>
        </is>
      </c>
      <c r="B35" s="68" t="n">
        <v>-20000</v>
      </c>
      <c r="C35" s="69" t="n">
        <v>0.002903357582359741</v>
      </c>
    </row>
    <row r="36">
      <c r="A36" s="105" t="inlineStr">
        <is>
          <t>TOTAL COGM</t>
        </is>
      </c>
      <c r="B36" s="71" t="n">
        <v>-250122.21</v>
      </c>
      <c r="C36" s="106" t="n">
        <v>0.03630971074600377</v>
      </c>
    </row>
    <row r="37">
      <c r="A37" s="102" t="n"/>
      <c r="B37" s="65" t="n"/>
      <c r="C37" s="103" t="n"/>
    </row>
    <row r="38">
      <c r="A38" s="112" t="inlineStr">
        <is>
          <t>GROSS MARGIN</t>
        </is>
      </c>
      <c r="B38" s="71" t="n">
        <v>4505184.46</v>
      </c>
      <c r="C38" s="113" t="n">
        <v>0.6540080730935137</v>
      </c>
    </row>
    <row r="39">
      <c r="A39" s="64" t="n"/>
      <c r="B39" s="65" t="n"/>
      <c r="C39" s="65" t="n"/>
    </row>
    <row r="40">
      <c r="A40" s="114" t="inlineStr">
        <is>
          <t>F. CHANNEL &amp; FULFILLMENT</t>
        </is>
      </c>
      <c r="B40" s="115" t="n"/>
      <c r="C40" s="115" t="n"/>
    </row>
    <row r="41">
      <c r="A41" s="64" t="inlineStr">
        <is>
          <t xml:space="preserve">    Amazon Fees</t>
        </is>
      </c>
      <c r="B41" s="68" t="n">
        <v>-1020411.87</v>
      </c>
      <c r="C41" s="69" t="n">
        <v>0.1481310269947191</v>
      </c>
    </row>
    <row r="42">
      <c r="A42" s="93" t="inlineStr">
        <is>
          <t xml:space="preserve">    D2C Fees</t>
        </is>
      </c>
      <c r="B42" s="68" t="n">
        <v>-30798.4</v>
      </c>
      <c r="C42" s="69" t="n">
        <v>0.004470938408227412</v>
      </c>
    </row>
    <row r="43">
      <c r="A43" s="105" t="inlineStr">
        <is>
          <t>TOTAL CHANNEL &amp; FULFILLMENT</t>
        </is>
      </c>
      <c r="B43" s="71" t="n">
        <v>-1051210.27</v>
      </c>
      <c r="C43" s="106" t="n">
        <v>0.1526019654029465</v>
      </c>
    </row>
    <row r="44">
      <c r="A44" s="90" t="n"/>
      <c r="B44" s="65" t="n"/>
      <c r="C44" s="97" t="n"/>
    </row>
    <row r="45">
      <c r="A45" s="70" t="inlineStr">
        <is>
          <t>CM1 (Contribution Margin 1)</t>
        </is>
      </c>
      <c r="B45" s="71" t="n">
        <v>3453974.19</v>
      </c>
      <c r="C45" s="74" t="n">
        <v>0.5014061076905671</v>
      </c>
    </row>
    <row r="46">
      <c r="A46" s="116" t="n"/>
      <c r="B46" s="117" t="n"/>
      <c r="C46" s="117" t="n"/>
    </row>
    <row r="47">
      <c r="A47" s="54" t="inlineStr">
        <is>
          <t>G. SALES &amp; MARKETING</t>
        </is>
      </c>
      <c r="B47" s="67" t="n"/>
      <c r="C47" s="67" t="n"/>
    </row>
    <row r="48">
      <c r="A48" s="93" t="inlineStr">
        <is>
          <t xml:space="preserve">    Advertising &amp; Marketing</t>
        </is>
      </c>
      <c r="B48" s="68" t="n">
        <v>-1185447.01</v>
      </c>
      <c r="C48" s="69" t="n">
        <v>0.1720888282484592</v>
      </c>
    </row>
    <row r="49">
      <c r="A49" s="105" t="inlineStr">
        <is>
          <t>TOTAL SALES &amp; MARKETING</t>
        </is>
      </c>
      <c r="B49" s="71" t="n">
        <v>-1185447.01</v>
      </c>
      <c r="C49" s="106" t="n">
        <v>0.1720888282484592</v>
      </c>
    </row>
    <row r="50">
      <c r="A50" s="90" t="n"/>
      <c r="B50" s="65" t="n"/>
      <c r="C50" s="97" t="n"/>
    </row>
    <row r="51">
      <c r="A51" s="70" t="inlineStr">
        <is>
          <t>CM2 (Contribution Margin 2)</t>
        </is>
      </c>
      <c r="B51" s="71" t="n">
        <v>2268527.18</v>
      </c>
      <c r="C51" s="74" t="n">
        <v>0.329317279442108</v>
      </c>
    </row>
    <row r="52">
      <c r="A52" s="140" t="n"/>
      <c r="B52" s="141" t="n"/>
      <c r="C52" s="141" t="n"/>
    </row>
    <row r="53">
      <c r="A53" s="54" t="inlineStr">
        <is>
          <t>H. PLATFORM COSTS</t>
        </is>
      </c>
      <c r="B53" s="67" t="n"/>
      <c r="C53" s="67" t="n"/>
    </row>
    <row r="54">
      <c r="A54" s="93" t="inlineStr">
        <is>
          <t xml:space="preserve">    Shopify Subscription</t>
        </is>
      </c>
      <c r="B54" s="68" t="n">
        <v>-6073.1</v>
      </c>
      <c r="C54" s="69" t="n">
        <v>0.0008816190466714471</v>
      </c>
    </row>
    <row r="55">
      <c r="A55" s="105" t="inlineStr">
        <is>
          <t>TOTAL PLATFORM COSTS</t>
        </is>
      </c>
      <c r="B55" s="71" t="n">
        <v>-6073.1</v>
      </c>
      <c r="C55" s="106" t="n">
        <v>0.0008816190466714471</v>
      </c>
    </row>
    <row r="56">
      <c r="A56" s="102" t="n"/>
      <c r="B56" s="65" t="n"/>
      <c r="C56" s="103" t="n"/>
    </row>
    <row r="57">
      <c r="A57" s="105" t="inlineStr">
        <is>
          <t>CM3 (Contribution Margin 3)</t>
        </is>
      </c>
      <c r="B57" s="71" t="n">
        <v>2262454.08</v>
      </c>
      <c r="C57" s="106" t="n">
        <v>0.3284356603954366</v>
      </c>
    </row>
    <row r="58">
      <c r="A58" s="102" t="n"/>
      <c r="B58" s="65" t="n"/>
      <c r="C58" s="103" t="n"/>
    </row>
    <row r="59">
      <c r="A59" s="107" t="inlineStr">
        <is>
          <t>I. OPERATING EXPENSES</t>
        </is>
      </c>
      <c r="B59" s="67" t="n"/>
      <c r="C59" s="108" t="n"/>
    </row>
    <row r="60">
      <c r="A60" s="102" t="inlineStr">
        <is>
          <t xml:space="preserve">    Legal &amp; CA expenses</t>
        </is>
      </c>
      <c r="B60" s="68" t="n">
        <v>-85641.8</v>
      </c>
      <c r="C60" s="104" t="n">
        <v>0.01243243846984682</v>
      </c>
    </row>
    <row r="61">
      <c r="A61" s="102" t="inlineStr">
        <is>
          <t xml:space="preserve">    Other Operating Expenses</t>
        </is>
      </c>
      <c r="B61" s="68" t="n">
        <v>-22052</v>
      </c>
      <c r="C61" s="104" t="n">
        <v>0.00320124207030985</v>
      </c>
    </row>
    <row r="62">
      <c r="A62" s="90" t="inlineStr">
        <is>
          <t xml:space="preserve">    Banks &amp; Finance Charges</t>
        </is>
      </c>
      <c r="B62" s="68" t="n">
        <v>-1418</v>
      </c>
      <c r="C62" s="92" t="n">
        <v>0.0002058480525893056</v>
      </c>
    </row>
    <row r="63">
      <c r="A63" s="64" t="inlineStr">
        <is>
          <t xml:space="preserve">    Administrative Expenses</t>
        </is>
      </c>
      <c r="B63" s="68" t="n">
        <v>-273015.45</v>
      </c>
      <c r="C63" s="69" t="n">
        <v>0.03963307384294283</v>
      </c>
    </row>
    <row r="64">
      <c r="A64" s="120" t="inlineStr">
        <is>
          <t xml:space="preserve">    Salaries (Admin Mgmt)</t>
        </is>
      </c>
      <c r="B64" s="121" t="n">
        <v>-556328</v>
      </c>
      <c r="C64" s="122" t="n">
        <v>0.08076095585395149</v>
      </c>
    </row>
    <row r="65">
      <c r="A65" s="64" t="inlineStr">
        <is>
          <t xml:space="preserve">    Staff Welfare &amp; Events</t>
        </is>
      </c>
      <c r="B65" s="68" t="n">
        <v>-11664</v>
      </c>
      <c r="C65" s="69" t="n">
        <v>0.001693238142032201</v>
      </c>
    </row>
    <row r="66">
      <c r="A66" s="93" t="inlineStr">
        <is>
          <t xml:space="preserve">    Miscellaneous (Travel, insurance)</t>
        </is>
      </c>
      <c r="B66" s="68" t="n">
        <v>-80054</v>
      </c>
      <c r="C66" s="69" t="n">
        <v>0.01162126939491133</v>
      </c>
    </row>
    <row r="67">
      <c r="A67" s="105" t="inlineStr">
        <is>
          <t>TOTAL OPERATING EXPENSES</t>
        </is>
      </c>
      <c r="B67" s="71" t="n">
        <v>-1030173.25</v>
      </c>
      <c r="C67" s="106" t="n">
        <v>0.1495480658265838</v>
      </c>
    </row>
    <row r="68">
      <c r="A68" s="90" t="n"/>
      <c r="B68" s="65" t="n"/>
      <c r="C68" s="97" t="n"/>
    </row>
    <row r="69">
      <c r="A69" s="70" t="inlineStr">
        <is>
          <t>EBITDA</t>
        </is>
      </c>
      <c r="B69" s="71" t="n">
        <v>1232280.83</v>
      </c>
      <c r="C69" s="74" t="n">
        <v>0.1788875945688527</v>
      </c>
    </row>
    <row r="70">
      <c r="A70" s="64" t="n"/>
      <c r="B70" s="65" t="n"/>
      <c r="C70" s="65" t="n"/>
    </row>
    <row r="71">
      <c r="A71" s="123" t="inlineStr">
        <is>
          <t>J. NON-OPERATING (I+D+A+Tax)</t>
        </is>
      </c>
      <c r="B71" s="124" t="n"/>
      <c r="C71" s="124" t="n"/>
    </row>
    <row r="72">
      <c r="A72" t="inlineStr">
        <is>
          <t xml:space="preserve">    Less: Interest Expense</t>
        </is>
      </c>
      <c r="B72" s="78" t="n">
        <v>-55367</v>
      </c>
      <c r="C72" s="79" t="n">
        <v>0.008037509963125588</v>
      </c>
    </row>
    <row r="73">
      <c r="A73" s="70" t="inlineStr">
        <is>
          <t>TOTAL NON-OPERATING</t>
        </is>
      </c>
      <c r="B73" s="71" t="n">
        <v>-55367</v>
      </c>
      <c r="C73" s="74" t="n">
        <v>0.008037509963125588</v>
      </c>
    </row>
    <row r="74">
      <c r="B74" s="62" t="n"/>
      <c r="C74" s="62" t="n"/>
    </row>
    <row r="75">
      <c r="B75" s="62" t="n"/>
      <c r="C75" s="62" t="n"/>
    </row>
    <row r="76">
      <c r="A76" s="70" t="inlineStr">
        <is>
          <t>NET INCOME</t>
        </is>
      </c>
      <c r="B76" s="71" t="n">
        <v>1176913.83</v>
      </c>
      <c r="C76" s="74" t="n">
        <v>0.1708500846057271</v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0" customWidth="1" style="2" min="1" max="1"/>
    <col width="17" customWidth="1" style="2" min="2" max="2"/>
    <col width="13" customWidth="1" style="2" min="3" max="3"/>
  </cols>
  <sheetData>
    <row r="1" ht="24" customHeight="1" s="2">
      <c r="A1" s="61" t="inlineStr">
        <is>
          <t>Nov 2024 - PROFIT &amp; LOSS STATEMENT</t>
        </is>
      </c>
    </row>
    <row r="2">
      <c r="A2" s="63" t="inlineStr">
        <is>
          <t>Heatronics Pvt Ltd</t>
        </is>
      </c>
    </row>
    <row r="3">
      <c r="A3" s="81" t="inlineStr">
        <is>
          <t>Generated: 24 Jan 2026</t>
        </is>
      </c>
      <c r="B3" s="51" t="n"/>
      <c r="C3" s="51" t="n"/>
    </row>
    <row r="4">
      <c r="A4" s="64" t="n"/>
      <c r="B4" s="65" t="n"/>
      <c r="C4" s="65" t="n"/>
    </row>
    <row r="5">
      <c r="A5" s="83" t="inlineStr">
        <is>
          <t>Revenue Formula: Net Revenue = Gross Revenue - Returns - Discounts - Taxes (GST)</t>
        </is>
      </c>
      <c r="B5" s="65" t="n"/>
      <c r="C5" s="65" t="n"/>
    </row>
    <row r="6">
      <c r="A6" s="64" t="n"/>
      <c r="B6" s="65" t="n"/>
      <c r="C6" s="65" t="n"/>
    </row>
    <row r="7">
      <c r="A7" s="84" t="inlineStr">
        <is>
          <t>Particulars</t>
        </is>
      </c>
      <c r="B7" s="85" t="inlineStr">
        <is>
          <t>Amount (₹)</t>
        </is>
      </c>
      <c r="C7" s="85" t="inlineStr">
        <is>
          <t>% of Revenue</t>
        </is>
      </c>
    </row>
    <row r="8">
      <c r="A8" s="86" t="inlineStr">
        <is>
          <t>A. GROSS REVENUE (from Sales Register, by channel)</t>
        </is>
      </c>
      <c r="B8" s="67" t="n"/>
      <c r="C8" s="67" t="n"/>
    </row>
    <row r="9">
      <c r="A9" s="87" t="inlineStr">
        <is>
          <t xml:space="preserve">    Amazon</t>
        </is>
      </c>
      <c r="B9" s="88" t="n">
        <v>4301583</v>
      </c>
      <c r="C9" s="89" t="n">
        <v>0.8947725384927244</v>
      </c>
    </row>
    <row r="10">
      <c r="A10" s="87" t="inlineStr">
        <is>
          <t xml:space="preserve">    OEM</t>
        </is>
      </c>
      <c r="B10" s="88" t="n">
        <v>474338</v>
      </c>
      <c r="C10" s="89" t="n">
        <v>0.0986670759028855</v>
      </c>
    </row>
    <row r="11">
      <c r="A11" s="90" t="inlineStr">
        <is>
          <t xml:space="preserve">    Offline</t>
        </is>
      </c>
      <c r="B11" s="91" t="n">
        <v>936572</v>
      </c>
      <c r="C11" s="92" t="n">
        <v>0.1948163980379335</v>
      </c>
    </row>
    <row r="12">
      <c r="A12" s="70" t="inlineStr">
        <is>
          <t>TOTAL GROSS REVENUE</t>
        </is>
      </c>
      <c r="B12" s="71" t="n">
        <v>5712493</v>
      </c>
      <c r="C12" s="72" t="n"/>
    </row>
    <row r="13">
      <c r="A13" s="93" t="inlineStr"/>
      <c r="B13" s="65" t="n"/>
      <c r="C13" s="65" t="n"/>
    </row>
    <row r="14">
      <c r="A14" s="94" t="inlineStr">
        <is>
          <t>B. RETURNS</t>
        </is>
      </c>
      <c r="B14" s="67" t="n"/>
      <c r="C14" s="95" t="n"/>
    </row>
    <row r="15">
      <c r="A15" s="87" t="inlineStr">
        <is>
          <t xml:space="preserve">    Amazon Returns</t>
        </is>
      </c>
      <c r="B15" s="73" t="n">
        <v>-652328.24</v>
      </c>
      <c r="C15" s="89" t="n">
        <v>-0.1356908364281919</v>
      </c>
    </row>
    <row r="16">
      <c r="A16" s="90" t="inlineStr">
        <is>
          <t xml:space="preserve">    Offline Returns</t>
        </is>
      </c>
      <c r="B16" s="73" t="n">
        <v>-12332</v>
      </c>
      <c r="C16" s="92" t="n">
        <v>-0.002565180061547639</v>
      </c>
    </row>
    <row r="17">
      <c r="A17" s="70" t="inlineStr">
        <is>
          <t>TOTAL RETURNS</t>
        </is>
      </c>
      <c r="B17" s="71" t="n">
        <v>-664660.24</v>
      </c>
      <c r="C17" s="74" t="n">
        <v>-0.1382560164897396</v>
      </c>
    </row>
    <row r="18">
      <c r="A18" s="93" t="inlineStr"/>
      <c r="B18" s="65" t="n"/>
      <c r="C18" s="65" t="n"/>
    </row>
    <row r="19">
      <c r="A19" s="125" t="inlineStr">
        <is>
          <t>D. TAXES (GST Collected)</t>
        </is>
      </c>
      <c r="B19" s="67" t="n"/>
      <c r="C19" s="126" t="n"/>
    </row>
    <row r="20">
      <c r="A20" s="70" t="inlineStr">
        <is>
          <t>TOTAL TAXES</t>
        </is>
      </c>
      <c r="B20" s="71" t="n">
        <v>-240372.97</v>
      </c>
      <c r="C20" s="74" t="n">
        <v>0.04999999594380383</v>
      </c>
    </row>
    <row r="21">
      <c r="A21" s="127" t="inlineStr"/>
      <c r="B21" s="128" t="n"/>
      <c r="C21" s="128" t="n"/>
    </row>
    <row r="22">
      <c r="A22" s="75" t="inlineStr">
        <is>
          <t>NET REVENUE (external)</t>
        </is>
      </c>
      <c r="B22" s="76" t="n">
        <v>4807459.79</v>
      </c>
      <c r="C22" s="77" t="n">
        <v>1</v>
      </c>
    </row>
    <row r="23">
      <c r="A23" s="93" t="inlineStr"/>
      <c r="B23" s="65" t="n"/>
      <c r="C23" s="65" t="n"/>
    </row>
    <row r="24">
      <c r="A24" s="102" t="inlineStr">
        <is>
          <t>Add: Inter-branch (Internal) Transactions</t>
        </is>
      </c>
      <c r="B24" s="68" t="n">
        <v>823931</v>
      </c>
      <c r="C24" s="104" t="n">
        <v>0.1713859368546065</v>
      </c>
    </row>
    <row r="25">
      <c r="A25" s="105" t="inlineStr">
        <is>
          <t>TURNOVER (Total — audited basis)</t>
        </is>
      </c>
      <c r="B25" s="71" t="n">
        <v>5631390.79</v>
      </c>
      <c r="C25" s="106" t="n">
        <v>1.171385936854606</v>
      </c>
    </row>
    <row r="26">
      <c r="A26" s="102" t="inlineStr"/>
      <c r="B26" s="65" t="n"/>
      <c r="C26" s="103" t="n"/>
    </row>
    <row r="27">
      <c r="A27" s="107" t="inlineStr">
        <is>
          <t>E. COST OF GOODS MANUFACTURED (COGM)</t>
        </is>
      </c>
      <c r="B27" s="67" t="n"/>
      <c r="C27" s="108" t="n"/>
    </row>
    <row r="28">
      <c r="A28" s="102" t="inlineStr">
        <is>
          <t xml:space="preserve">    Raw Materials &amp; Inventory</t>
        </is>
      </c>
      <c r="B28" s="68" t="n">
        <v>-1488784.8</v>
      </c>
      <c r="C28" s="104" t="n">
        <v>0.3096822157715853</v>
      </c>
    </row>
    <row r="29">
      <c r="A29" s="102" t="inlineStr">
        <is>
          <t xml:space="preserve">    Consumables</t>
        </is>
      </c>
      <c r="B29" s="68" t="n">
        <v>-4568</v>
      </c>
      <c r="C29" s="104" t="n">
        <v>0.0009501899546829075</v>
      </c>
    </row>
    <row r="30">
      <c r="A30" s="90" t="inlineStr">
        <is>
          <t xml:space="preserve">    Factory Maintenance</t>
        </is>
      </c>
      <c r="B30" s="68" t="n">
        <v>-33705</v>
      </c>
      <c r="C30" s="92" t="n">
        <v>0.007010979076748554</v>
      </c>
    </row>
    <row r="31">
      <c r="A31" s="64" t="inlineStr">
        <is>
          <t xml:space="preserve">    Inbound Transport</t>
        </is>
      </c>
      <c r="B31" s="68" t="n">
        <v>-4130</v>
      </c>
      <c r="C31" s="69" t="n">
        <v>0.0008590815483450981</v>
      </c>
    </row>
    <row r="32">
      <c r="A32" s="109" t="inlineStr">
        <is>
          <t xml:space="preserve">    Job work</t>
        </is>
      </c>
      <c r="B32" s="110" t="n">
        <v>-61948</v>
      </c>
      <c r="C32" s="111" t="n">
        <v>0.01288580720505621</v>
      </c>
    </row>
    <row r="33">
      <c r="A33" s="64" t="inlineStr">
        <is>
          <t xml:space="preserve">    Manufacturing Wages</t>
        </is>
      </c>
      <c r="B33" s="68" t="n">
        <v>-5000</v>
      </c>
      <c r="C33" s="69" t="n">
        <v>0.001040050300659925</v>
      </c>
    </row>
    <row r="34">
      <c r="A34" s="96" t="inlineStr">
        <is>
          <t>TOTAL COGM</t>
        </is>
      </c>
      <c r="B34" s="71" t="n">
        <v>-109351</v>
      </c>
      <c r="C34" s="74" t="n">
        <v>0.02274610808549269</v>
      </c>
    </row>
    <row r="35">
      <c r="A35" s="102" t="n"/>
      <c r="B35" s="65" t="n"/>
      <c r="C35" s="103" t="n"/>
    </row>
    <row r="36">
      <c r="A36" s="105" t="inlineStr">
        <is>
          <t>GROSS MARGIN</t>
        </is>
      </c>
      <c r="B36" s="71" t="n">
        <v>3209323.99</v>
      </c>
      <c r="C36" s="106" t="n">
        <v>0.6675716761429221</v>
      </c>
    </row>
    <row r="37">
      <c r="A37" s="90" t="n"/>
      <c r="B37" s="65" t="n"/>
      <c r="C37" s="97" t="n"/>
    </row>
    <row r="38">
      <c r="A38" s="54" t="inlineStr">
        <is>
          <t>F. CHANNEL &amp; FULFILLMENT</t>
        </is>
      </c>
      <c r="B38" s="67" t="n"/>
      <c r="C38" s="67" t="n"/>
    </row>
    <row r="39">
      <c r="A39" s="129" t="inlineStr">
        <is>
          <t xml:space="preserve">    Amazon Fees</t>
        </is>
      </c>
      <c r="B39" s="130" t="n">
        <v>-778578.37</v>
      </c>
      <c r="C39" s="131" t="n">
        <v>0.1619521335611629</v>
      </c>
    </row>
    <row r="40">
      <c r="A40" s="64" t="inlineStr">
        <is>
          <t xml:space="preserve">    D2C Fees</t>
        </is>
      </c>
      <c r="B40" s="68" t="n">
        <v>-108162.87</v>
      </c>
      <c r="C40" s="69" t="n">
        <v>0.02249896509274808</v>
      </c>
    </row>
    <row r="41">
      <c r="A41" s="96" t="inlineStr">
        <is>
          <t>TOTAL CHANNEL &amp; FULFILLMENT</t>
        </is>
      </c>
      <c r="B41" s="71" t="n">
        <v>-886741.24</v>
      </c>
      <c r="C41" s="74" t="n">
        <v>0.1844510986539109</v>
      </c>
    </row>
    <row r="42">
      <c r="A42" s="102" t="n"/>
      <c r="B42" s="65" t="n"/>
      <c r="C42" s="103" t="n"/>
    </row>
    <row r="43">
      <c r="A43" s="112" t="inlineStr">
        <is>
          <t>CM1 (Contribution Margin 1)</t>
        </is>
      </c>
      <c r="B43" s="71" t="n">
        <v>2322582.75</v>
      </c>
      <c r="C43" s="113" t="n">
        <v>0.4831205774890111</v>
      </c>
    </row>
    <row r="44">
      <c r="A44" s="64" t="n"/>
      <c r="B44" s="65" t="n"/>
      <c r="C44" s="65" t="n"/>
    </row>
    <row r="45">
      <c r="A45" s="132" t="inlineStr">
        <is>
          <t>G. SALES &amp; MARKETING</t>
        </is>
      </c>
      <c r="B45" s="133" t="n"/>
      <c r="C45" s="133" t="n"/>
    </row>
    <row r="46">
      <c r="A46" s="64" t="inlineStr">
        <is>
          <t xml:space="preserve">    Advertising &amp; Marketing</t>
        </is>
      </c>
      <c r="B46" s="68" t="n">
        <v>-797601.22</v>
      </c>
      <c r="C46" s="69" t="n">
        <v>0.1659090777335446</v>
      </c>
    </row>
    <row r="47">
      <c r="A47" s="96" t="inlineStr">
        <is>
          <t>TOTAL SALES &amp; MARKETING</t>
        </is>
      </c>
      <c r="B47" s="71" t="n">
        <v>-797601.22</v>
      </c>
      <c r="C47" s="74" t="n">
        <v>0.1659090777335446</v>
      </c>
    </row>
    <row r="48">
      <c r="A48" s="102" t="n"/>
      <c r="B48" s="65" t="n"/>
      <c r="C48" s="103" t="n"/>
    </row>
    <row r="49">
      <c r="A49" s="112" t="inlineStr">
        <is>
          <t>CM2 (Contribution Margin 2)</t>
        </is>
      </c>
      <c r="B49" s="71" t="n">
        <v>1524981.53</v>
      </c>
      <c r="C49" s="113" t="n">
        <v>0.3172114997554665</v>
      </c>
    </row>
    <row r="50">
      <c r="A50" s="64" t="n"/>
      <c r="B50" s="65" t="n"/>
      <c r="C50" s="65" t="n"/>
    </row>
    <row r="51">
      <c r="A51" s="118" t="inlineStr">
        <is>
          <t>H. PLATFORM COSTS</t>
        </is>
      </c>
      <c r="B51" s="119" t="n"/>
      <c r="C51" s="119" t="n"/>
    </row>
    <row r="52">
      <c r="A52" s="64" t="inlineStr">
        <is>
          <t xml:space="preserve">    Shopify Subscription</t>
        </is>
      </c>
      <c r="B52" s="68" t="n">
        <v>-70.69</v>
      </c>
      <c r="C52" s="69" t="n">
        <v>1.470423115073002e-05</v>
      </c>
    </row>
    <row r="53">
      <c r="A53" s="96" t="inlineStr">
        <is>
          <t>TOTAL PLATFORM COSTS</t>
        </is>
      </c>
      <c r="B53" s="71" t="n">
        <v>-70.69</v>
      </c>
      <c r="C53" s="74" t="n">
        <v>1.470423115073002e-05</v>
      </c>
    </row>
    <row r="54">
      <c r="A54" s="102" t="n"/>
      <c r="B54" s="65" t="n"/>
      <c r="C54" s="103" t="n"/>
    </row>
    <row r="55">
      <c r="A55" s="105" t="inlineStr">
        <is>
          <t>CM3 (Contribution Margin 3)</t>
        </is>
      </c>
      <c r="B55" s="71" t="n">
        <v>1524910.84</v>
      </c>
      <c r="C55" s="106" t="n">
        <v>0.3171967955243158</v>
      </c>
    </row>
    <row r="56">
      <c r="A56" s="102" t="n"/>
      <c r="B56" s="65" t="n"/>
      <c r="C56" s="103" t="n"/>
    </row>
    <row r="57">
      <c r="A57" s="107" t="inlineStr">
        <is>
          <t>I. OPERATING EXPENSES</t>
        </is>
      </c>
      <c r="B57" s="67" t="n"/>
      <c r="C57" s="108" t="n"/>
    </row>
    <row r="58">
      <c r="A58" s="102" t="inlineStr">
        <is>
          <t xml:space="preserve">    Other Operating Expenses</t>
        </is>
      </c>
      <c r="B58" s="68" t="n">
        <v>-31940.75</v>
      </c>
      <c r="C58" s="104" t="n">
        <v>0.0066439973281607</v>
      </c>
    </row>
    <row r="59">
      <c r="A59" s="102" t="inlineStr">
        <is>
          <t xml:space="preserve">    Banks &amp; Finance Charges</t>
        </is>
      </c>
      <c r="B59" s="68" t="n">
        <v>-100</v>
      </c>
      <c r="C59" s="104" t="n">
        <v>2.08010060131985e-05</v>
      </c>
    </row>
    <row r="60">
      <c r="A60" s="102" t="inlineStr">
        <is>
          <t xml:space="preserve">    Administrative Expenses</t>
        </is>
      </c>
      <c r="B60" s="68" t="n">
        <v>-222942.76</v>
      </c>
      <c r="C60" s="104" t="n">
        <v>0.04637433691359071</v>
      </c>
    </row>
    <row r="61">
      <c r="A61" s="90" t="inlineStr">
        <is>
          <t xml:space="preserve">    Legal &amp; CA expenses</t>
        </is>
      </c>
      <c r="B61" s="68" t="n">
        <v>-140450</v>
      </c>
      <c r="C61" s="92" t="n">
        <v>0.02921501294553729</v>
      </c>
    </row>
    <row r="62">
      <c r="A62" s="64" t="inlineStr">
        <is>
          <t xml:space="preserve">    Miscellaneous (Travel, insurance)</t>
        </is>
      </c>
      <c r="B62" s="68" t="n">
        <v>-26803</v>
      </c>
      <c r="C62" s="69" t="n">
        <v>0.005575293641717594</v>
      </c>
    </row>
    <row r="63">
      <c r="A63" s="120" t="inlineStr">
        <is>
          <t xml:space="preserve">    Salaries (Admin Mgmt)</t>
        </is>
      </c>
      <c r="B63" s="121" t="n">
        <v>-457911</v>
      </c>
      <c r="C63" s="122" t="n">
        <v>0.09525009464509739</v>
      </c>
    </row>
    <row r="64">
      <c r="A64" s="64" t="inlineStr">
        <is>
          <t xml:space="preserve">    Staff Welfare &amp; Events</t>
        </is>
      </c>
      <c r="B64" s="68" t="n">
        <v>-4766</v>
      </c>
      <c r="C64" s="69" t="n">
        <v>0.0009913759465890405</v>
      </c>
    </row>
    <row r="65">
      <c r="A65" s="96" t="inlineStr">
        <is>
          <t>TOTAL OPERATING EXPENSES</t>
        </is>
      </c>
      <c r="B65" s="71" t="n">
        <v>-884913.51</v>
      </c>
      <c r="C65" s="74" t="n">
        <v>0.1840709124267059</v>
      </c>
    </row>
    <row r="66">
      <c r="A66" s="102" t="n"/>
      <c r="B66" s="65" t="n"/>
      <c r="C66" s="103" t="n"/>
    </row>
    <row r="67">
      <c r="A67" s="112" t="inlineStr">
        <is>
          <t>EBITDA</t>
        </is>
      </c>
      <c r="B67" s="71" t="n">
        <v>639997.33</v>
      </c>
      <c r="C67" s="113" t="n">
        <v>0.1331258830976098</v>
      </c>
    </row>
    <row r="68">
      <c r="A68" s="64" t="n"/>
      <c r="B68" s="65" t="n"/>
      <c r="C68" s="65" t="n"/>
    </row>
    <row r="69">
      <c r="A69" s="54" t="inlineStr">
        <is>
          <t>J. NON-OPERATING (I+D+A+Tax)</t>
        </is>
      </c>
      <c r="B69" s="67" t="n"/>
      <c r="C69" s="67" t="n"/>
    </row>
    <row r="70">
      <c r="A70" s="137" t="inlineStr">
        <is>
          <t xml:space="preserve">    Less: Interest Expense</t>
        </is>
      </c>
      <c r="B70" s="138" t="n">
        <v>-53588</v>
      </c>
      <c r="C70" s="139" t="n">
        <v>0.01114684310235281</v>
      </c>
    </row>
    <row r="71">
      <c r="A71" s="70" t="inlineStr">
        <is>
          <t>TOTAL NON-OPERATING</t>
        </is>
      </c>
      <c r="B71" s="71" t="n">
        <v>-53588</v>
      </c>
      <c r="C71" s="74" t="n">
        <v>0.01114684310235281</v>
      </c>
    </row>
    <row r="72">
      <c r="B72" s="62" t="n"/>
      <c r="C72" s="62" t="n"/>
    </row>
    <row r="73">
      <c r="B73" s="62" t="n"/>
      <c r="C73" s="62" t="n"/>
    </row>
    <row r="74">
      <c r="A74" s="70" t="inlineStr">
        <is>
          <t>NET INCOME</t>
        </is>
      </c>
      <c r="B74" s="71" t="n">
        <v>586409.33</v>
      </c>
      <c r="C74" s="74" t="n">
        <v>0.121979039995257</v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0" customWidth="1" style="2" min="1" max="1"/>
    <col width="17" customWidth="1" style="2" min="2" max="2"/>
    <col width="13" customWidth="1" style="2" min="3" max="3"/>
  </cols>
  <sheetData>
    <row r="1" ht="24" customHeight="1" s="2">
      <c r="A1" s="61" t="inlineStr">
        <is>
          <t>Oct 2024 - PROFIT &amp; LOSS STATEMENT</t>
        </is>
      </c>
    </row>
    <row r="2">
      <c r="A2" s="63" t="inlineStr">
        <is>
          <t>Heatronics Pvt Ltd</t>
        </is>
      </c>
    </row>
    <row r="3">
      <c r="A3" s="81" t="inlineStr">
        <is>
          <t>Generated: 24 Jan 2026</t>
        </is>
      </c>
      <c r="B3" s="51" t="n"/>
      <c r="C3" s="51" t="n"/>
    </row>
    <row r="4">
      <c r="A4" s="64" t="n"/>
      <c r="B4" s="65" t="n"/>
      <c r="C4" s="65" t="n"/>
    </row>
    <row r="5">
      <c r="A5" s="83" t="inlineStr">
        <is>
          <t>Revenue Formula: Net Revenue = Gross Revenue - Returns - Discounts - Taxes (GST)</t>
        </is>
      </c>
      <c r="B5" s="65" t="n"/>
      <c r="C5" s="65" t="n"/>
    </row>
    <row r="6">
      <c r="A6" s="64" t="n"/>
      <c r="B6" s="65" t="n"/>
      <c r="C6" s="65" t="n"/>
    </row>
    <row r="7">
      <c r="A7" s="84" t="inlineStr">
        <is>
          <t>Particulars</t>
        </is>
      </c>
      <c r="B7" s="85" t="inlineStr">
        <is>
          <t>Amount (₹)</t>
        </is>
      </c>
      <c r="C7" s="85" t="inlineStr">
        <is>
          <t>% of Revenue</t>
        </is>
      </c>
    </row>
    <row r="8">
      <c r="A8" s="86" t="inlineStr">
        <is>
          <t>A. GROSS REVENUE (from Sales Register, by channel)</t>
        </is>
      </c>
      <c r="B8" s="67" t="n"/>
      <c r="C8" s="67" t="n"/>
    </row>
    <row r="9">
      <c r="A9" s="87" t="inlineStr">
        <is>
          <t xml:space="preserve">    Amazon</t>
        </is>
      </c>
      <c r="B9" s="88" t="n">
        <v>3097554</v>
      </c>
      <c r="C9" s="89" t="n">
        <v>0.810850409717598</v>
      </c>
    </row>
    <row r="10">
      <c r="A10" s="87" t="inlineStr">
        <is>
          <t xml:space="preserve">    OEM</t>
        </is>
      </c>
      <c r="B10" s="88" t="n">
        <v>760902</v>
      </c>
      <c r="C10" s="89" t="n">
        <v>0.1991822252186531</v>
      </c>
    </row>
    <row r="11">
      <c r="A11" s="90" t="inlineStr">
        <is>
          <t xml:space="preserve">    Offline</t>
        </is>
      </c>
      <c r="B11" s="91" t="n">
        <v>792172</v>
      </c>
      <c r="C11" s="92" t="n">
        <v>0.2073678104616769</v>
      </c>
    </row>
    <row r="12">
      <c r="A12" s="70" t="inlineStr">
        <is>
          <t>TOTAL GROSS REVENUE</t>
        </is>
      </c>
      <c r="B12" s="71" t="n">
        <v>4650628</v>
      </c>
      <c r="C12" s="72" t="n"/>
    </row>
    <row r="13">
      <c r="A13" s="93" t="inlineStr"/>
      <c r="B13" s="65" t="n"/>
      <c r="C13" s="65" t="n"/>
    </row>
    <row r="14">
      <c r="A14" s="94" t="inlineStr">
        <is>
          <t>B. RETURNS</t>
        </is>
      </c>
      <c r="B14" s="67" t="n"/>
      <c r="C14" s="95" t="n"/>
    </row>
    <row r="15">
      <c r="A15" s="87" t="inlineStr">
        <is>
          <t xml:space="preserve">    Amazon Returns</t>
        </is>
      </c>
      <c r="B15" s="73" t="n">
        <v>-527816</v>
      </c>
      <c r="C15" s="89" t="n">
        <v>-0.1381670246444465</v>
      </c>
    </row>
    <row r="16">
      <c r="A16" s="90" t="inlineStr">
        <is>
          <t xml:space="preserve">    OEM Returns</t>
        </is>
      </c>
      <c r="B16" s="73" t="n">
        <v>-107705</v>
      </c>
      <c r="C16" s="92" t="n">
        <v>-0.02819406647265355</v>
      </c>
    </row>
    <row r="17">
      <c r="A17" s="64" t="inlineStr">
        <is>
          <t xml:space="preserve">    Offline Returns</t>
        </is>
      </c>
      <c r="B17" s="73" t="n">
        <v>-4007</v>
      </c>
      <c r="C17" s="69" t="n">
        <v>-0.001048917175209348</v>
      </c>
    </row>
    <row r="18">
      <c r="A18" s="96" t="inlineStr">
        <is>
          <t>TOTAL RETURNS</t>
        </is>
      </c>
      <c r="B18" s="71" t="n">
        <v>-639528</v>
      </c>
      <c r="C18" s="74" t="n">
        <v>-0.1674100082923094</v>
      </c>
    </row>
    <row r="19">
      <c r="A19" s="90" t="inlineStr"/>
      <c r="B19" s="65" t="n"/>
      <c r="C19" s="97" t="n"/>
    </row>
    <row r="20">
      <c r="A20" s="54" t="inlineStr">
        <is>
          <t>D. TAXES (GST Collected)</t>
        </is>
      </c>
      <c r="B20" s="67" t="n"/>
      <c r="C20" s="67" t="n"/>
    </row>
    <row r="21">
      <c r="A21" s="98" t="inlineStr">
        <is>
          <t>TOTAL TAXES</t>
        </is>
      </c>
      <c r="B21" s="99" t="n">
        <v>-190969.97</v>
      </c>
      <c r="C21" s="100" t="n">
        <v>0.04999043710561863</v>
      </c>
    </row>
    <row r="22">
      <c r="A22" s="64" t="inlineStr"/>
      <c r="B22" s="65" t="n"/>
      <c r="C22" s="65" t="n"/>
    </row>
    <row r="23">
      <c r="A23" s="101" t="inlineStr">
        <is>
          <t>NET REVENUE (external)</t>
        </is>
      </c>
      <c r="B23" s="76" t="n">
        <v>3820130.03</v>
      </c>
      <c r="C23" s="77" t="n">
        <v>1</v>
      </c>
    </row>
    <row r="24">
      <c r="A24" s="102" t="inlineStr"/>
      <c r="B24" s="65" t="n"/>
      <c r="C24" s="103" t="n"/>
    </row>
    <row r="25">
      <c r="A25" s="102" t="inlineStr">
        <is>
          <t>Add: Inter-branch (Internal) Transactions</t>
        </is>
      </c>
      <c r="B25" s="68" t="n">
        <v>361329</v>
      </c>
      <c r="C25" s="104" t="n">
        <v>0.09458552383359579</v>
      </c>
    </row>
    <row r="26">
      <c r="A26" s="105" t="inlineStr">
        <is>
          <t>TURNOVER (Total — audited basis)</t>
        </is>
      </c>
      <c r="B26" s="71" t="n">
        <v>4181459.03</v>
      </c>
      <c r="C26" s="106" t="n">
        <v>1.094585523833596</v>
      </c>
    </row>
    <row r="27">
      <c r="A27" s="102" t="inlineStr"/>
      <c r="B27" s="65" t="n"/>
      <c r="C27" s="103" t="n"/>
    </row>
    <row r="28">
      <c r="A28" s="107" t="inlineStr">
        <is>
          <t>E. COST OF GOODS MANUFACTURED (COGM)</t>
        </is>
      </c>
      <c r="B28" s="67" t="n"/>
      <c r="C28" s="108" t="n"/>
    </row>
    <row r="29">
      <c r="A29" s="102" t="inlineStr">
        <is>
          <t xml:space="preserve">    Raw Materials &amp; Inventory</t>
        </is>
      </c>
      <c r="B29" s="68" t="n">
        <v>-1183026.34</v>
      </c>
      <c r="C29" s="104" t="n">
        <v>0.3096822178066018</v>
      </c>
    </row>
    <row r="30">
      <c r="A30" s="90" t="inlineStr">
        <is>
          <t xml:space="preserve">    Consumables</t>
        </is>
      </c>
      <c r="B30" s="68" t="n">
        <v>-6630.8</v>
      </c>
      <c r="C30" s="92" t="n">
        <v>0.001735752434584013</v>
      </c>
    </row>
    <row r="31">
      <c r="A31" s="64" t="inlineStr">
        <is>
          <t xml:space="preserve">    Factory Maintenance</t>
        </is>
      </c>
      <c r="B31" s="68" t="n">
        <v>-38375</v>
      </c>
      <c r="C31" s="69" t="n">
        <v>0.01004546957790335</v>
      </c>
    </row>
    <row r="32">
      <c r="A32" s="109" t="inlineStr">
        <is>
          <t xml:space="preserve">    Inbound Transport</t>
        </is>
      </c>
      <c r="B32" s="110" t="n">
        <v>-4780</v>
      </c>
      <c r="C32" s="111" t="n">
        <v>0.001251266308335583</v>
      </c>
    </row>
    <row r="33">
      <c r="A33" s="64" t="inlineStr">
        <is>
          <t xml:space="preserve">    Job work</t>
        </is>
      </c>
      <c r="B33" s="68" t="n">
        <v>-133238.4</v>
      </c>
      <c r="C33" s="69" t="n">
        <v>0.0348779750829581</v>
      </c>
    </row>
    <row r="34">
      <c r="A34" s="93" t="inlineStr">
        <is>
          <t xml:space="preserve">    Manufacturing Wages</t>
        </is>
      </c>
      <c r="B34" s="68" t="n">
        <v>-5000</v>
      </c>
      <c r="C34" s="69" t="n">
        <v>0.001308855971062325</v>
      </c>
    </row>
    <row r="35">
      <c r="A35" s="105" t="inlineStr">
        <is>
          <t>TOTAL COGM</t>
        </is>
      </c>
      <c r="B35" s="71" t="n">
        <v>-188024.2</v>
      </c>
      <c r="C35" s="106" t="n">
        <v>0.04921931937484338</v>
      </c>
    </row>
    <row r="36">
      <c r="A36" s="102" t="n"/>
      <c r="B36" s="65" t="n"/>
      <c r="C36" s="103" t="n"/>
    </row>
    <row r="37">
      <c r="A37" s="112" t="inlineStr">
        <is>
          <t>GROSS MARGIN</t>
        </is>
      </c>
      <c r="B37" s="71" t="n">
        <v>2449079.49</v>
      </c>
      <c r="C37" s="113" t="n">
        <v>0.641098462818555</v>
      </c>
    </row>
    <row r="38">
      <c r="A38" s="64" t="n"/>
      <c r="B38" s="65" t="n"/>
      <c r="C38" s="65" t="n"/>
    </row>
    <row r="39">
      <c r="A39" s="114" t="inlineStr">
        <is>
          <t>F. CHANNEL &amp; FULFILLMENT</t>
        </is>
      </c>
      <c r="B39" s="115" t="n"/>
      <c r="C39" s="115" t="n"/>
    </row>
    <row r="40">
      <c r="A40" s="64" t="inlineStr">
        <is>
          <t xml:space="preserve">    Amazon Fees</t>
        </is>
      </c>
      <c r="B40" s="68" t="n">
        <v>-535878.96</v>
      </c>
      <c r="C40" s="69" t="n">
        <v>0.1402776753125338</v>
      </c>
    </row>
    <row r="41">
      <c r="A41" s="93" t="inlineStr">
        <is>
          <t xml:space="preserve">    D2C Fees</t>
        </is>
      </c>
      <c r="B41" s="68" t="n">
        <v>-22149</v>
      </c>
      <c r="C41" s="69" t="n">
        <v>0.005797970180611889</v>
      </c>
    </row>
    <row r="42">
      <c r="A42" s="105" t="inlineStr">
        <is>
          <t>TOTAL CHANNEL &amp; FULFILLMENT</t>
        </is>
      </c>
      <c r="B42" s="71" t="n">
        <v>-558027.96</v>
      </c>
      <c r="C42" s="106" t="n">
        <v>0.1460756454931457</v>
      </c>
    </row>
    <row r="43">
      <c r="A43" s="90" t="n"/>
      <c r="B43" s="65" t="n"/>
      <c r="C43" s="97" t="n"/>
    </row>
    <row r="44">
      <c r="A44" s="70" t="inlineStr">
        <is>
          <t>CM1 (Contribution Margin 1)</t>
        </is>
      </c>
      <c r="B44" s="71" t="n">
        <v>1891051.53</v>
      </c>
      <c r="C44" s="74" t="n">
        <v>0.4950228173254093</v>
      </c>
    </row>
    <row r="45">
      <c r="A45" s="116" t="n"/>
      <c r="B45" s="117" t="n"/>
      <c r="C45" s="117" t="n"/>
    </row>
    <row r="46">
      <c r="A46" s="54" t="inlineStr">
        <is>
          <t>G. SALES &amp; MARKETING</t>
        </is>
      </c>
      <c r="B46" s="67" t="n"/>
      <c r="C46" s="67" t="n"/>
    </row>
    <row r="47">
      <c r="A47" s="64" t="inlineStr">
        <is>
          <t xml:space="preserve">    Advertising &amp; Marketing</t>
        </is>
      </c>
      <c r="B47" s="68" t="n">
        <v>-659583.59</v>
      </c>
      <c r="C47" s="69" t="n">
        <v>0.1726599840372449</v>
      </c>
    </row>
    <row r="48">
      <c r="A48" s="157" t="inlineStr">
        <is>
          <t>TOTAL SALES &amp; MARKETING</t>
        </is>
      </c>
      <c r="B48" s="158" t="n">
        <v>-659583.59</v>
      </c>
      <c r="C48" s="159" t="n">
        <v>0.1726599840372449</v>
      </c>
    </row>
    <row r="49">
      <c r="A49" s="64" t="n"/>
      <c r="B49" s="65" t="n"/>
      <c r="C49" s="65" t="n"/>
    </row>
    <row r="50">
      <c r="A50" s="96" t="inlineStr">
        <is>
          <t>CM2 (Contribution Margin 2)</t>
        </is>
      </c>
      <c r="B50" s="71" t="n">
        <v>1231467.94</v>
      </c>
      <c r="C50" s="74" t="n">
        <v>0.3223628332881643</v>
      </c>
    </row>
    <row r="51">
      <c r="A51" s="102" t="n"/>
      <c r="B51" s="65" t="n"/>
      <c r="C51" s="103" t="n"/>
    </row>
    <row r="52">
      <c r="A52" s="102" t="n"/>
      <c r="B52" s="103" t="n"/>
      <c r="C52" s="103" t="n"/>
    </row>
    <row r="53">
      <c r="A53" s="105" t="inlineStr">
        <is>
          <t>CM3 (Contribution Margin 3)</t>
        </is>
      </c>
      <c r="B53" s="71" t="n">
        <v>1231467.94</v>
      </c>
      <c r="C53" s="106" t="n">
        <v>0.3223628332881643</v>
      </c>
    </row>
    <row r="54">
      <c r="A54" s="102" t="n"/>
      <c r="B54" s="65" t="n"/>
      <c r="C54" s="103" t="n"/>
    </row>
    <row r="55">
      <c r="A55" s="107" t="inlineStr">
        <is>
          <t>I. OPERATING EXPENSES</t>
        </is>
      </c>
      <c r="B55" s="67" t="n"/>
      <c r="C55" s="108" t="n"/>
    </row>
    <row r="56">
      <c r="A56" s="102" t="inlineStr">
        <is>
          <t xml:space="preserve">    Other Operating Expenses</t>
        </is>
      </c>
      <c r="B56" s="68" t="n">
        <v>-30561.03</v>
      </c>
      <c r="C56" s="104" t="n">
        <v>0.007999997319462972</v>
      </c>
    </row>
    <row r="57">
      <c r="A57" s="102" t="inlineStr">
        <is>
          <t xml:space="preserve">    Banks &amp; Finance Charges</t>
        </is>
      </c>
      <c r="B57" s="68" t="n">
        <v>22455.11</v>
      </c>
      <c r="C57" s="104" t="n">
        <v>0.005878100960872267</v>
      </c>
    </row>
    <row r="58">
      <c r="A58" s="90" t="inlineStr">
        <is>
          <t xml:space="preserve">    Miscellaneous (Travel, insurance)</t>
        </is>
      </c>
      <c r="B58" s="68" t="n">
        <v>-24744</v>
      </c>
      <c r="C58" s="92" t="n">
        <v>0.006477266429593236</v>
      </c>
    </row>
    <row r="59">
      <c r="A59" s="64" t="inlineStr">
        <is>
          <t xml:space="preserve">    Staff Welfare &amp; Events</t>
        </is>
      </c>
      <c r="B59" s="68" t="n">
        <v>-56928</v>
      </c>
      <c r="C59" s="69" t="n">
        <v>0.01490211054412721</v>
      </c>
    </row>
    <row r="60">
      <c r="A60" s="120" t="inlineStr">
        <is>
          <t xml:space="preserve">    Salaries (Admin Mgmt)</t>
        </is>
      </c>
      <c r="B60" s="121" t="n">
        <v>-477559</v>
      </c>
      <c r="C60" s="122" t="n">
        <v>0.1250111897369106</v>
      </c>
    </row>
    <row r="61">
      <c r="A61" s="64" t="inlineStr">
        <is>
          <t xml:space="preserve">    Legal &amp; CA expenses</t>
        </is>
      </c>
      <c r="B61" s="68" t="n">
        <v>-78880</v>
      </c>
      <c r="C61" s="69" t="n">
        <v>0.02064851179947924</v>
      </c>
    </row>
    <row r="62">
      <c r="A62" s="93" t="inlineStr">
        <is>
          <t xml:space="preserve">    Administrative Expenses</t>
        </is>
      </c>
      <c r="B62" s="68" t="n">
        <v>-179392</v>
      </c>
      <c r="C62" s="69" t="n">
        <v>0.04695965807216253</v>
      </c>
    </row>
    <row r="63">
      <c r="A63" s="105" t="inlineStr">
        <is>
          <t>TOTAL OPERATING EXPENSES</t>
        </is>
      </c>
      <c r="B63" s="71" t="n">
        <v>-825608.92</v>
      </c>
      <c r="C63" s="106" t="n">
        <v>0.2161206329408636</v>
      </c>
    </row>
    <row r="64">
      <c r="A64" s="90" t="n"/>
      <c r="B64" s="65" t="n"/>
      <c r="C64" s="97" t="n"/>
    </row>
    <row r="65">
      <c r="A65" s="70" t="inlineStr">
        <is>
          <t>EBITDA</t>
        </is>
      </c>
      <c r="B65" s="71" t="n">
        <v>405859.02</v>
      </c>
      <c r="C65" s="74" t="n">
        <v>0.1062422003473008</v>
      </c>
    </row>
    <row r="66">
      <c r="A66" s="64" t="n"/>
      <c r="B66" s="65" t="n"/>
      <c r="C66" s="65" t="n"/>
    </row>
    <row r="67">
      <c r="A67" s="123" t="inlineStr">
        <is>
          <t>J. NON-OPERATING (I+D+A+Tax)</t>
        </is>
      </c>
      <c r="B67" s="124" t="n"/>
      <c r="C67" s="124" t="n"/>
    </row>
    <row r="68">
      <c r="A68" t="inlineStr">
        <is>
          <t xml:space="preserve">    Less: Interest Expense</t>
        </is>
      </c>
      <c r="B68" s="78" t="n">
        <v>-52408</v>
      </c>
      <c r="C68" s="79" t="n">
        <v>0.01371890474628687</v>
      </c>
    </row>
    <row r="69">
      <c r="A69" s="70" t="inlineStr">
        <is>
          <t>TOTAL NON-OPERATING</t>
        </is>
      </c>
      <c r="B69" s="71" t="n">
        <v>-52408</v>
      </c>
      <c r="C69" s="74" t="n">
        <v>0.01371890474628687</v>
      </c>
    </row>
    <row r="70">
      <c r="B70" s="62" t="n"/>
      <c r="C70" s="62" t="n"/>
    </row>
    <row r="71">
      <c r="B71" s="62" t="n"/>
      <c r="C71" s="62" t="n"/>
    </row>
    <row r="72">
      <c r="A72" s="70" t="inlineStr">
        <is>
          <t>NET INCOME</t>
        </is>
      </c>
      <c r="B72" s="71" t="n">
        <v>353451.02</v>
      </c>
      <c r="C72" s="74" t="n">
        <v>0.09252329560101388</v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0" customWidth="1" style="2" min="1" max="1"/>
    <col width="17" customWidth="1" style="2" min="2" max="2"/>
    <col width="13" customWidth="1" style="2" min="3" max="3"/>
  </cols>
  <sheetData>
    <row r="1" ht="24" customHeight="1" s="2">
      <c r="A1" s="61" t="inlineStr">
        <is>
          <t>Sep 2024 - PROFIT &amp; LOSS STATEMENT</t>
        </is>
      </c>
    </row>
    <row r="2">
      <c r="A2" s="63" t="inlineStr">
        <is>
          <t>Heatronics Pvt Ltd</t>
        </is>
      </c>
    </row>
    <row r="3">
      <c r="A3" s="81" t="inlineStr">
        <is>
          <t>Generated: 24 Jan 2026</t>
        </is>
      </c>
      <c r="B3" s="51" t="n"/>
      <c r="C3" s="51" t="n"/>
    </row>
    <row r="4">
      <c r="A4" s="64" t="n"/>
      <c r="B4" s="65" t="n"/>
      <c r="C4" s="65" t="n"/>
    </row>
    <row r="5">
      <c r="A5" s="83" t="inlineStr">
        <is>
          <t>Revenue Formula: Net Revenue = Gross Revenue - Returns - Discounts - Taxes (GST)</t>
        </is>
      </c>
      <c r="B5" s="65" t="n"/>
      <c r="C5" s="65" t="n"/>
    </row>
    <row r="6">
      <c r="A6" s="64" t="n"/>
      <c r="B6" s="65" t="n"/>
      <c r="C6" s="65" t="n"/>
    </row>
    <row r="7">
      <c r="A7" s="84" t="inlineStr">
        <is>
          <t>Particulars</t>
        </is>
      </c>
      <c r="B7" s="85" t="inlineStr">
        <is>
          <t>Amount (₹)</t>
        </is>
      </c>
      <c r="C7" s="85" t="inlineStr">
        <is>
          <t>% of Revenue</t>
        </is>
      </c>
    </row>
    <row r="8">
      <c r="A8" s="86" t="inlineStr">
        <is>
          <t>A. GROSS REVENUE (from Sales Register, by channel)</t>
        </is>
      </c>
      <c r="B8" s="67" t="n"/>
      <c r="C8" s="67" t="n"/>
    </row>
    <row r="9">
      <c r="A9" s="87" t="inlineStr">
        <is>
          <t xml:space="preserve">    Amazon</t>
        </is>
      </c>
      <c r="B9" s="88" t="n">
        <v>3185126</v>
      </c>
      <c r="C9" s="89" t="n">
        <v>0.832175327268676</v>
      </c>
    </row>
    <row r="10">
      <c r="A10" s="87" t="inlineStr">
        <is>
          <t xml:space="preserve">    OEM</t>
        </is>
      </c>
      <c r="B10" s="88" t="n">
        <v>714096</v>
      </c>
      <c r="C10" s="89" t="n">
        <v>0.186571291842537</v>
      </c>
    </row>
    <row r="11">
      <c r="A11" s="90" t="inlineStr">
        <is>
          <t xml:space="preserve">    Offline</t>
        </is>
      </c>
      <c r="B11" s="91" t="n">
        <v>683487</v>
      </c>
      <c r="C11" s="92" t="n">
        <v>0.1785741028483286</v>
      </c>
    </row>
    <row r="12">
      <c r="A12" s="70" t="inlineStr">
        <is>
          <t>TOTAL GROSS REVENUE</t>
        </is>
      </c>
      <c r="B12" s="71" t="n">
        <v>4582709</v>
      </c>
      <c r="C12" s="72" t="n"/>
    </row>
    <row r="13">
      <c r="A13" s="93" t="inlineStr"/>
      <c r="B13" s="65" t="n"/>
      <c r="C13" s="65" t="n"/>
    </row>
    <row r="14">
      <c r="A14" s="94" t="inlineStr">
        <is>
          <t>B. RETURNS</t>
        </is>
      </c>
      <c r="B14" s="67" t="n"/>
      <c r="C14" s="95" t="n"/>
    </row>
    <row r="15">
      <c r="A15" s="87" t="inlineStr">
        <is>
          <t xml:space="preserve">    Amazon Returns</t>
        </is>
      </c>
      <c r="B15" s="73" t="n">
        <v>-558307</v>
      </c>
      <c r="C15" s="89" t="n">
        <v>-0.1458684241820866</v>
      </c>
    </row>
    <row r="16">
      <c r="A16" s="90" t="inlineStr">
        <is>
          <t xml:space="preserve">    OEM Returns</t>
        </is>
      </c>
      <c r="B16" s="73" t="n">
        <v>-630</v>
      </c>
      <c r="C16" s="92" t="n">
        <v>-0.0001645995970580962</v>
      </c>
    </row>
    <row r="17">
      <c r="A17" s="64" t="inlineStr">
        <is>
          <t xml:space="preserve">    Offline Returns</t>
        </is>
      </c>
      <c r="B17" s="73" t="n">
        <v>-4847</v>
      </c>
      <c r="C17" s="69" t="n">
        <v>-0.001266371820540623</v>
      </c>
    </row>
    <row r="18">
      <c r="A18" s="96" t="inlineStr">
        <is>
          <t>TOTAL RETURNS</t>
        </is>
      </c>
      <c r="B18" s="71" t="n">
        <v>-563784</v>
      </c>
      <c r="C18" s="74" t="n">
        <v>-0.1472993955996853</v>
      </c>
    </row>
    <row r="19">
      <c r="A19" s="90" t="inlineStr"/>
      <c r="B19" s="65" t="n"/>
      <c r="C19" s="97" t="n"/>
    </row>
    <row r="20">
      <c r="A20" s="54" t="inlineStr">
        <is>
          <t>D. TAXES (GST Collected)</t>
        </is>
      </c>
      <c r="B20" s="67" t="n"/>
      <c r="C20" s="67" t="n"/>
    </row>
    <row r="21">
      <c r="A21" s="98" t="inlineStr">
        <is>
          <t>TOTAL TAXES</t>
        </is>
      </c>
      <c r="B21" s="99" t="n">
        <v>-191455.12</v>
      </c>
      <c r="C21" s="100" t="n">
        <v>0.0500213263598563</v>
      </c>
    </row>
    <row r="22">
      <c r="A22" s="64" t="inlineStr"/>
      <c r="B22" s="65" t="n"/>
      <c r="C22" s="65" t="n"/>
    </row>
    <row r="23">
      <c r="A23" s="101" t="inlineStr">
        <is>
          <t>NET REVENUE (external)</t>
        </is>
      </c>
      <c r="B23" s="76" t="n">
        <v>3827469.88</v>
      </c>
      <c r="C23" s="77" t="n">
        <v>1</v>
      </c>
    </row>
    <row r="24">
      <c r="A24" s="102" t="inlineStr"/>
      <c r="B24" s="65" t="n"/>
      <c r="C24" s="103" t="n"/>
    </row>
    <row r="25">
      <c r="A25" s="102" t="inlineStr">
        <is>
          <t>Add: Inter-branch (Internal) Transactions</t>
        </is>
      </c>
      <c r="B25" s="68" t="n">
        <v>558880</v>
      </c>
      <c r="C25" s="104" t="n">
        <v>0.146018131434649</v>
      </c>
    </row>
    <row r="26">
      <c r="A26" s="105" t="inlineStr">
        <is>
          <t>TURNOVER (Total — audited basis)</t>
        </is>
      </c>
      <c r="B26" s="71" t="n">
        <v>4386349.88</v>
      </c>
      <c r="C26" s="106" t="n">
        <v>1.146018131434649</v>
      </c>
    </row>
    <row r="27">
      <c r="A27" s="102" t="inlineStr"/>
      <c r="B27" s="65" t="n"/>
      <c r="C27" s="103" t="n"/>
    </row>
    <row r="28">
      <c r="A28" s="107" t="inlineStr">
        <is>
          <t>E. COST OF GOODS MANUFACTURED (COGM)</t>
        </is>
      </c>
      <c r="B28" s="67" t="n"/>
      <c r="C28" s="108" t="n"/>
    </row>
    <row r="29">
      <c r="A29" s="102" t="inlineStr">
        <is>
          <t xml:space="preserve">    Raw Materials &amp; Inventory</t>
        </is>
      </c>
      <c r="B29" s="68" t="n">
        <v>-1185299.36</v>
      </c>
      <c r="C29" s="104" t="n">
        <v>0.3096822175384435</v>
      </c>
    </row>
    <row r="30">
      <c r="A30" s="90" t="inlineStr">
        <is>
          <t xml:space="preserve">    Consumables</t>
        </is>
      </c>
      <c r="B30" s="68" t="n">
        <v>-8430</v>
      </c>
      <c r="C30" s="92" t="n">
        <v>0.002202499370158336</v>
      </c>
    </row>
    <row r="31">
      <c r="A31" s="64" t="inlineStr">
        <is>
          <t xml:space="preserve">    Inbound Transport</t>
        </is>
      </c>
      <c r="B31" s="68" t="n">
        <v>-1850</v>
      </c>
      <c r="C31" s="69" t="n">
        <v>0.0004833480231071081</v>
      </c>
    </row>
    <row r="32">
      <c r="A32" s="109" t="inlineStr">
        <is>
          <t xml:space="preserve">    Job work</t>
        </is>
      </c>
      <c r="B32" s="110" t="n">
        <v>-100003</v>
      </c>
      <c r="C32" s="111" t="n">
        <v>0.02612770397555682</v>
      </c>
    </row>
    <row r="33">
      <c r="A33" s="64" t="inlineStr">
        <is>
          <t xml:space="preserve">    Manufacturing Wages</t>
        </is>
      </c>
      <c r="B33" s="68" t="n">
        <v>-5000</v>
      </c>
      <c r="C33" s="69" t="n">
        <v>0.001306346008397589</v>
      </c>
    </row>
    <row r="34">
      <c r="A34" s="93" t="inlineStr">
        <is>
          <t xml:space="preserve">    Factory Maintenance</t>
        </is>
      </c>
      <c r="B34" s="68" t="n">
        <v>-19000</v>
      </c>
      <c r="C34" s="69" t="n">
        <v>0.004964114831910839</v>
      </c>
    </row>
    <row r="35">
      <c r="A35" s="105" t="inlineStr">
        <is>
          <t>TOTAL COGM</t>
        </is>
      </c>
      <c r="B35" s="71" t="n">
        <v>-134283</v>
      </c>
      <c r="C35" s="106" t="n">
        <v>0.0350840122091307</v>
      </c>
    </row>
    <row r="36">
      <c r="A36" s="90" t="n"/>
      <c r="B36" s="65" t="n"/>
      <c r="C36" s="97" t="n"/>
    </row>
    <row r="37">
      <c r="A37" s="70" t="inlineStr">
        <is>
          <t>GROSS MARGIN</t>
        </is>
      </c>
      <c r="B37" s="71" t="n">
        <v>2507887.52</v>
      </c>
      <c r="C37" s="74" t="n">
        <v>0.6552337702524259</v>
      </c>
    </row>
    <row r="38">
      <c r="A38" s="129" t="n"/>
      <c r="B38" s="160" t="n"/>
      <c r="C38" s="160" t="n"/>
    </row>
    <row r="39">
      <c r="A39" s="54" t="inlineStr">
        <is>
          <t>F. CHANNEL &amp; FULFILLMENT</t>
        </is>
      </c>
      <c r="B39" s="67" t="n"/>
      <c r="C39" s="67" t="n"/>
    </row>
    <row r="40">
      <c r="A40" s="93" t="inlineStr">
        <is>
          <t xml:space="preserve">    D2C Fees</t>
        </is>
      </c>
      <c r="B40" s="68" t="n">
        <v>-8099</v>
      </c>
      <c r="C40" s="69" t="n">
        <v>0.002116019264402415</v>
      </c>
    </row>
    <row r="41">
      <c r="A41" s="105" t="inlineStr">
        <is>
          <t>TOTAL CHANNEL &amp; FULFILLMENT</t>
        </is>
      </c>
      <c r="B41" s="71" t="n">
        <v>-8099</v>
      </c>
      <c r="C41" s="106" t="n">
        <v>0.002116019264402415</v>
      </c>
    </row>
    <row r="42">
      <c r="A42" s="90" t="n"/>
      <c r="B42" s="65" t="n"/>
      <c r="C42" s="97" t="n"/>
    </row>
    <row r="43">
      <c r="A43" s="70" t="inlineStr">
        <is>
          <t>CM1 (Contribution Margin 1)</t>
        </is>
      </c>
      <c r="B43" s="71" t="n">
        <v>2499788.52</v>
      </c>
      <c r="C43" s="74" t="n">
        <v>0.6531177509880235</v>
      </c>
    </row>
    <row r="44">
      <c r="A44" s="116" t="n"/>
      <c r="B44" s="117" t="n"/>
      <c r="C44" s="117" t="n"/>
    </row>
    <row r="45">
      <c r="A45" s="54" t="inlineStr">
        <is>
          <t>G. SALES &amp; MARKETING</t>
        </is>
      </c>
      <c r="B45" s="67" t="n"/>
      <c r="C45" s="67" t="n"/>
    </row>
    <row r="46">
      <c r="A46" s="64" t="inlineStr">
        <is>
          <t xml:space="preserve">    Advertising &amp; Marketing</t>
        </is>
      </c>
      <c r="B46" s="68" t="n">
        <v>-1095349.58</v>
      </c>
      <c r="C46" s="69" t="n">
        <v>0.2861811103265952</v>
      </c>
    </row>
    <row r="47">
      <c r="A47" s="157" t="inlineStr">
        <is>
          <t>TOTAL SALES &amp; MARKETING</t>
        </is>
      </c>
      <c r="B47" s="158" t="n">
        <v>-1095349.58</v>
      </c>
      <c r="C47" s="159" t="n">
        <v>0.2861811103265952</v>
      </c>
    </row>
    <row r="48">
      <c r="A48" s="64" t="n"/>
      <c r="B48" s="65" t="n"/>
      <c r="C48" s="65" t="n"/>
    </row>
    <row r="49">
      <c r="A49" s="96" t="inlineStr">
        <is>
          <t>CM2 (Contribution Margin 2)</t>
        </is>
      </c>
      <c r="B49" s="71" t="n">
        <v>1404438.94</v>
      </c>
      <c r="C49" s="74" t="n">
        <v>0.3669366406614283</v>
      </c>
    </row>
    <row r="50">
      <c r="A50" s="102" t="n"/>
      <c r="B50" s="65" t="n"/>
      <c r="C50" s="103" t="n"/>
    </row>
    <row r="51">
      <c r="A51" s="102" t="n"/>
      <c r="B51" s="65" t="n"/>
      <c r="C51" s="103" t="n"/>
    </row>
    <row r="52">
      <c r="A52" s="105" t="inlineStr">
        <is>
          <t>CM3 (Contribution Margin 3)</t>
        </is>
      </c>
      <c r="B52" s="71" t="n">
        <v>1404438.94</v>
      </c>
      <c r="C52" s="106" t="n">
        <v>0.3669366406614283</v>
      </c>
    </row>
    <row r="53">
      <c r="A53" s="102" t="n"/>
      <c r="B53" s="65" t="n"/>
      <c r="C53" s="103" t="n"/>
    </row>
    <row r="54">
      <c r="A54" s="107" t="inlineStr">
        <is>
          <t>I. OPERATING EXPENSES</t>
        </is>
      </c>
      <c r="B54" s="67" t="n"/>
      <c r="C54" s="108" t="n"/>
    </row>
    <row r="55">
      <c r="A55" s="102" t="inlineStr">
        <is>
          <t xml:space="preserve">    Banks &amp; Finance Charges</t>
        </is>
      </c>
      <c r="B55" s="68" t="n">
        <v>-400</v>
      </c>
      <c r="C55" s="104" t="n">
        <v>0.0001045076806718071</v>
      </c>
    </row>
    <row r="56">
      <c r="A56" s="102" t="inlineStr">
        <is>
          <t xml:space="preserve">    Other Operating Expenses</t>
        </is>
      </c>
      <c r="B56" s="68" t="n">
        <v>-43087.67</v>
      </c>
      <c r="C56" s="104" t="n">
        <v>0.01125748114313051</v>
      </c>
    </row>
    <row r="57">
      <c r="A57" s="90" t="inlineStr">
        <is>
          <t xml:space="preserve">    Administrative Expenses</t>
        </is>
      </c>
      <c r="B57" s="68" t="n">
        <v>-254434.55</v>
      </c>
      <c r="C57" s="92" t="n">
        <v>0.06647591175818737</v>
      </c>
    </row>
    <row r="58">
      <c r="A58" s="64" t="inlineStr">
        <is>
          <t xml:space="preserve">    Salaries (Admin Mgmt)</t>
        </is>
      </c>
      <c r="B58" s="68" t="n">
        <v>-447317</v>
      </c>
      <c r="C58" s="69" t="n">
        <v>0.1168701554876769</v>
      </c>
    </row>
    <row r="59">
      <c r="A59" s="120" t="inlineStr">
        <is>
          <t xml:space="preserve">    Miscellaneous (Travel, insurance)</t>
        </is>
      </c>
      <c r="B59" s="121" t="n">
        <v>-7795</v>
      </c>
      <c r="C59" s="122" t="n">
        <v>0.002036593427091842</v>
      </c>
    </row>
    <row r="60">
      <c r="A60" s="64" t="inlineStr">
        <is>
          <t xml:space="preserve">    Legal &amp; CA expenses</t>
        </is>
      </c>
      <c r="B60" s="68" t="n">
        <v>-100500</v>
      </c>
      <c r="C60" s="69" t="n">
        <v>0.02625755476879155</v>
      </c>
    </row>
    <row r="61">
      <c r="A61" s="93" t="inlineStr">
        <is>
          <t xml:space="preserve">    Staff Welfare &amp; Events</t>
        </is>
      </c>
      <c r="B61" s="68" t="n">
        <v>-3452</v>
      </c>
      <c r="C61" s="69" t="n">
        <v>0.0009019012841976956</v>
      </c>
    </row>
    <row r="62">
      <c r="A62" s="105" t="inlineStr">
        <is>
          <t>TOTAL OPERATING EXPENSES</t>
        </is>
      </c>
      <c r="B62" s="71" t="n">
        <v>-856986.22</v>
      </c>
      <c r="C62" s="106" t="n">
        <v>0.2239041055497477</v>
      </c>
    </row>
    <row r="63">
      <c r="A63" s="90" t="n"/>
      <c r="B63" s="65" t="n"/>
      <c r="C63" s="97" t="n"/>
    </row>
    <row r="64">
      <c r="A64" s="70" t="inlineStr">
        <is>
          <t>EBITDA</t>
        </is>
      </c>
      <c r="B64" s="71" t="n">
        <v>547452.72</v>
      </c>
      <c r="C64" s="74" t="n">
        <v>0.1430325351116806</v>
      </c>
    </row>
    <row r="65">
      <c r="A65" s="64" t="n"/>
      <c r="B65" s="65" t="n"/>
      <c r="C65" s="65" t="n"/>
    </row>
    <row r="66">
      <c r="A66" s="123" t="inlineStr">
        <is>
          <t>J. NON-OPERATING (I+D+A+Tax)</t>
        </is>
      </c>
      <c r="B66" s="124" t="n"/>
      <c r="C66" s="124" t="n"/>
    </row>
    <row r="67">
      <c r="A67" t="inlineStr">
        <is>
          <t xml:space="preserve">    Less: Interest Expense</t>
        </is>
      </c>
      <c r="B67" s="78" t="n">
        <v>-50173</v>
      </c>
      <c r="C67" s="79" t="n">
        <v>0.01310865965586645</v>
      </c>
    </row>
    <row r="68">
      <c r="A68" s="70" t="inlineStr">
        <is>
          <t>TOTAL NON-OPERATING</t>
        </is>
      </c>
      <c r="B68" s="71" t="n">
        <v>-50173</v>
      </c>
      <c r="C68" s="74" t="n">
        <v>0.01310865965586645</v>
      </c>
    </row>
    <row r="69">
      <c r="B69" s="62" t="n"/>
      <c r="C69" s="62" t="n"/>
    </row>
    <row r="70">
      <c r="B70" s="62" t="n"/>
      <c r="C70" s="62" t="n"/>
    </row>
    <row r="71">
      <c r="A71" s="70" t="inlineStr">
        <is>
          <t>NET INCOME</t>
        </is>
      </c>
      <c r="B71" s="71" t="n">
        <v>497279.72</v>
      </c>
      <c r="C71" s="74" t="n">
        <v>0.1299238754558142</v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0" customWidth="1" style="2" min="1" max="1"/>
    <col width="17" customWidth="1" style="2" min="2" max="2"/>
    <col width="13" customWidth="1" style="2" min="3" max="3"/>
  </cols>
  <sheetData>
    <row r="1" ht="24" customHeight="1" s="2">
      <c r="A1" s="61" t="inlineStr">
        <is>
          <t>Aug 2024 - PROFIT &amp; LOSS STATEMENT</t>
        </is>
      </c>
    </row>
    <row r="2">
      <c r="A2" s="63" t="inlineStr">
        <is>
          <t>Heatronics Pvt Ltd</t>
        </is>
      </c>
    </row>
    <row r="3">
      <c r="A3" s="81" t="inlineStr">
        <is>
          <t>Generated: 24 Jan 2026</t>
        </is>
      </c>
      <c r="B3" s="51" t="n"/>
      <c r="C3" s="51" t="n"/>
    </row>
    <row r="4">
      <c r="A4" s="64" t="n"/>
      <c r="B4" s="65" t="n"/>
      <c r="C4" s="65" t="n"/>
    </row>
    <row r="5">
      <c r="A5" s="83" t="inlineStr">
        <is>
          <t>Revenue Formula: Net Revenue = Gross Revenue - Returns - Discounts - Taxes (GST)</t>
        </is>
      </c>
      <c r="B5" s="65" t="n"/>
      <c r="C5" s="65" t="n"/>
    </row>
    <row r="6">
      <c r="A6" s="64" t="n"/>
      <c r="B6" s="65" t="n"/>
      <c r="C6" s="65" t="n"/>
    </row>
    <row r="7">
      <c r="A7" s="84" t="inlineStr">
        <is>
          <t>Particulars</t>
        </is>
      </c>
      <c r="B7" s="85" t="inlineStr">
        <is>
          <t>Amount (₹)</t>
        </is>
      </c>
      <c r="C7" s="85" t="inlineStr">
        <is>
          <t>% of Revenue</t>
        </is>
      </c>
    </row>
    <row r="8">
      <c r="A8" s="86" t="inlineStr">
        <is>
          <t>A. GROSS REVENUE (from Sales Register, by channel)</t>
        </is>
      </c>
      <c r="B8" s="67" t="n"/>
      <c r="C8" s="67" t="n"/>
    </row>
    <row r="9">
      <c r="A9" s="87" t="inlineStr">
        <is>
          <t xml:space="preserve">    Amazon</t>
        </is>
      </c>
      <c r="B9" s="88" t="n">
        <v>1810228</v>
      </c>
      <c r="C9" s="89" t="n">
        <v>0.6685384740396643</v>
      </c>
    </row>
    <row r="10">
      <c r="A10" s="87" t="inlineStr">
        <is>
          <t xml:space="preserve">    OEM</t>
        </is>
      </c>
      <c r="B10" s="88" t="n">
        <v>795375</v>
      </c>
      <c r="C10" s="89" t="n">
        <v>0.293741334676791</v>
      </c>
    </row>
    <row r="11">
      <c r="A11" s="90" t="inlineStr">
        <is>
          <t xml:space="preserve">    Offline</t>
        </is>
      </c>
      <c r="B11" s="91" t="n">
        <v>395727</v>
      </c>
      <c r="C11" s="92" t="n">
        <v>0.1461466316487725</v>
      </c>
    </row>
    <row r="12">
      <c r="A12" s="70" t="inlineStr">
        <is>
          <t>TOTAL GROSS REVENUE</t>
        </is>
      </c>
      <c r="B12" s="71" t="n">
        <v>3001330</v>
      </c>
      <c r="C12" s="72" t="n"/>
    </row>
    <row r="13">
      <c r="A13" s="93" t="inlineStr"/>
      <c r="B13" s="65" t="n"/>
      <c r="C13" s="65" t="n"/>
    </row>
    <row r="14">
      <c r="A14" s="94" t="inlineStr">
        <is>
          <t>B. RETURNS</t>
        </is>
      </c>
      <c r="B14" s="67" t="n"/>
      <c r="C14" s="95" t="n"/>
    </row>
    <row r="15">
      <c r="A15" s="87" t="inlineStr">
        <is>
          <t xml:space="preserve">    Amazon Returns</t>
        </is>
      </c>
      <c r="B15" s="73" t="n">
        <v>-72454</v>
      </c>
      <c r="C15" s="89" t="n">
        <v>-0.02675811367301237</v>
      </c>
    </row>
    <row r="16">
      <c r="A16" s="90" t="inlineStr">
        <is>
          <t xml:space="preserve">    OEM Returns</t>
        </is>
      </c>
      <c r="B16" s="73" t="n">
        <v>-87906</v>
      </c>
      <c r="C16" s="92" t="n">
        <v>-0.0324647188635524</v>
      </c>
    </row>
    <row r="17">
      <c r="A17" s="70" t="inlineStr">
        <is>
          <t>TOTAL RETURNS</t>
        </is>
      </c>
      <c r="B17" s="71" t="n">
        <v>-160360</v>
      </c>
      <c r="C17" s="74" t="n">
        <v>-0.05922283253656477</v>
      </c>
    </row>
    <row r="18">
      <c r="A18" s="93" t="inlineStr"/>
      <c r="B18" s="65" t="n"/>
      <c r="C18" s="65" t="n"/>
    </row>
    <row r="19">
      <c r="A19" s="125" t="inlineStr">
        <is>
          <t>D. TAXES (GST Collected)</t>
        </is>
      </c>
      <c r="B19" s="67" t="n"/>
      <c r="C19" s="126" t="n"/>
    </row>
    <row r="20">
      <c r="A20" s="70" t="inlineStr">
        <is>
          <t>TOTAL TAXES</t>
        </is>
      </c>
      <c r="B20" s="71" t="n">
        <v>-133230.55</v>
      </c>
      <c r="C20" s="74" t="n">
        <v>0.04920360782866312</v>
      </c>
    </row>
    <row r="21">
      <c r="A21" s="127" t="inlineStr"/>
      <c r="B21" s="128" t="n"/>
      <c r="C21" s="128" t="n"/>
    </row>
    <row r="22">
      <c r="A22" s="75" t="inlineStr">
        <is>
          <t>NET REVENUE (external)</t>
        </is>
      </c>
      <c r="B22" s="76" t="n">
        <v>2707739.45</v>
      </c>
      <c r="C22" s="77" t="n">
        <v>1</v>
      </c>
    </row>
    <row r="23">
      <c r="A23" s="93" t="inlineStr"/>
      <c r="B23" s="65" t="n"/>
      <c r="C23" s="65" t="n"/>
    </row>
    <row r="24">
      <c r="A24" s="102" t="inlineStr">
        <is>
          <t>Add: Inter-branch (Internal) Transactions</t>
        </is>
      </c>
      <c r="B24" s="68" t="n">
        <v>438650</v>
      </c>
      <c r="C24" s="104" t="n">
        <v>0.1619985999760797</v>
      </c>
    </row>
    <row r="25">
      <c r="A25" s="105" t="inlineStr">
        <is>
          <t>TURNOVER (Total — audited basis)</t>
        </is>
      </c>
      <c r="B25" s="71" t="n">
        <v>3146389.45</v>
      </c>
      <c r="C25" s="106" t="n">
        <v>1.16199859997608</v>
      </c>
    </row>
    <row r="26">
      <c r="A26" s="102" t="inlineStr"/>
      <c r="B26" s="65" t="n"/>
      <c r="C26" s="103" t="n"/>
    </row>
    <row r="27">
      <c r="A27" s="107" t="inlineStr">
        <is>
          <t>E. COST OF GOODS MANUFACTURED (COGM)</t>
        </is>
      </c>
      <c r="B27" s="67" t="n"/>
      <c r="C27" s="108" t="n"/>
    </row>
    <row r="28">
      <c r="A28" s="102" t="inlineStr">
        <is>
          <t xml:space="preserve">    Raw Materials &amp; Inventory</t>
        </is>
      </c>
      <c r="B28" s="68" t="n">
        <v>-838538.76</v>
      </c>
      <c r="C28" s="104" t="n">
        <v>0.3096822185014884</v>
      </c>
    </row>
    <row r="29">
      <c r="A29" s="102" t="inlineStr">
        <is>
          <t xml:space="preserve">    Consumables</t>
        </is>
      </c>
      <c r="B29" s="68" t="n">
        <v>-4470</v>
      </c>
      <c r="C29" s="104" t="n">
        <v>0.001650823531045426</v>
      </c>
    </row>
    <row r="30">
      <c r="A30" s="90" t="inlineStr">
        <is>
          <t xml:space="preserve">    Factory Maintenance</t>
        </is>
      </c>
      <c r="B30" s="68" t="n">
        <v>-39892</v>
      </c>
      <c r="C30" s="92" t="n">
        <v>0.01473258440726267</v>
      </c>
    </row>
    <row r="31">
      <c r="A31" s="64" t="inlineStr">
        <is>
          <t xml:space="preserve">    Inbound Transport</t>
        </is>
      </c>
      <c r="B31" s="68" t="n">
        <v>-1100</v>
      </c>
      <c r="C31" s="69" t="n">
        <v>0.0004062429271029012</v>
      </c>
    </row>
    <row r="32">
      <c r="A32" s="109" t="inlineStr">
        <is>
          <t xml:space="preserve">    Job work</t>
        </is>
      </c>
      <c r="B32" s="110" t="n">
        <v>-72000</v>
      </c>
      <c r="C32" s="111" t="n">
        <v>0.02659044613764444</v>
      </c>
    </row>
    <row r="33">
      <c r="A33" s="64" t="inlineStr">
        <is>
          <t xml:space="preserve">    Manufacturing Wages</t>
        </is>
      </c>
      <c r="B33" s="68" t="n">
        <v>-4000</v>
      </c>
      <c r="C33" s="69" t="n">
        <v>0.001477247007646914</v>
      </c>
    </row>
    <row r="34">
      <c r="A34" s="96" t="inlineStr">
        <is>
          <t>TOTAL COGM</t>
        </is>
      </c>
      <c r="B34" s="71" t="n">
        <v>-121462</v>
      </c>
      <c r="C34" s="74" t="n">
        <v>0.04485734401070236</v>
      </c>
    </row>
    <row r="35">
      <c r="A35" s="102" t="n"/>
      <c r="B35" s="65" t="n"/>
      <c r="C35" s="103" t="n"/>
    </row>
    <row r="36">
      <c r="A36" s="112" t="inlineStr">
        <is>
          <t>GROSS MARGIN</t>
        </is>
      </c>
      <c r="B36" s="71" t="n">
        <v>1747738.69</v>
      </c>
      <c r="C36" s="113" t="n">
        <v>0.6454604374878092</v>
      </c>
    </row>
    <row r="37">
      <c r="A37" s="64" t="n"/>
      <c r="B37" s="65" t="n"/>
      <c r="C37" s="65" t="n"/>
    </row>
    <row r="38">
      <c r="A38" s="114" t="inlineStr">
        <is>
          <t>F. CHANNEL &amp; FULFILLMENT</t>
        </is>
      </c>
      <c r="B38" s="115" t="n"/>
      <c r="C38" s="115" t="n"/>
    </row>
    <row r="39">
      <c r="A39" s="64" t="inlineStr">
        <is>
          <t xml:space="preserve">    D2C Fees</t>
        </is>
      </c>
      <c r="B39" s="68" t="n">
        <v>-6221</v>
      </c>
      <c r="C39" s="69" t="n">
        <v>0.002297488408642862</v>
      </c>
    </row>
    <row r="40">
      <c r="A40" s="96" t="inlineStr">
        <is>
          <t>TOTAL CHANNEL &amp; FULFILLMENT</t>
        </is>
      </c>
      <c r="B40" s="71" t="n">
        <v>-6221</v>
      </c>
      <c r="C40" s="74" t="n">
        <v>0.002297488408642862</v>
      </c>
    </row>
    <row r="41">
      <c r="A41" s="102" t="n"/>
      <c r="B41" s="65" t="n"/>
      <c r="C41" s="103" t="n"/>
    </row>
    <row r="42">
      <c r="A42" s="112" t="inlineStr">
        <is>
          <t>CM1 (Contribution Margin 1)</t>
        </is>
      </c>
      <c r="B42" s="71" t="n">
        <v>1741517.69</v>
      </c>
      <c r="C42" s="113" t="n">
        <v>0.6431629490791663</v>
      </c>
    </row>
    <row r="43">
      <c r="A43" s="64" t="n"/>
      <c r="B43" s="65" t="n"/>
      <c r="C43" s="65" t="n"/>
    </row>
    <row r="44">
      <c r="A44" s="132" t="inlineStr">
        <is>
          <t>G. SALES &amp; MARKETING</t>
        </is>
      </c>
      <c r="B44" s="133" t="n"/>
      <c r="C44" s="133" t="n"/>
    </row>
    <row r="45">
      <c r="A45" s="64" t="inlineStr">
        <is>
          <t xml:space="preserve">    Advertising &amp; Marketing</t>
        </is>
      </c>
      <c r="B45" s="68" t="n">
        <v>-780988.0600000001</v>
      </c>
      <c r="C45" s="69" t="n">
        <v>0.2884280686607421</v>
      </c>
    </row>
    <row r="46">
      <c r="A46" s="70" t="inlineStr">
        <is>
          <t>TOTAL SALES &amp; MARKETING</t>
        </is>
      </c>
      <c r="B46" s="71" t="n">
        <v>-780988.0600000001</v>
      </c>
      <c r="C46" s="74" t="n">
        <v>0.2884280686607421</v>
      </c>
    </row>
    <row r="47">
      <c r="A47" s="140" t="n"/>
      <c r="B47" s="141" t="n"/>
      <c r="C47" s="141" t="n"/>
    </row>
    <row r="48">
      <c r="A48" s="70" t="inlineStr">
        <is>
          <t>CM2 (Contribution Margin 2)</t>
        </is>
      </c>
      <c r="B48" s="71" t="n">
        <v>960529.63</v>
      </c>
      <c r="C48" s="74" t="n">
        <v>0.3547348804184243</v>
      </c>
    </row>
    <row r="49">
      <c r="A49" s="93" t="n"/>
      <c r="B49" s="65" t="n"/>
      <c r="C49" s="65" t="n"/>
    </row>
    <row r="50">
      <c r="A50" s="102" t="n"/>
      <c r="B50" s="65" t="n"/>
      <c r="C50" s="103" t="n"/>
    </row>
    <row r="51">
      <c r="A51" s="105" t="inlineStr">
        <is>
          <t>CM3 (Contribution Margin 3)</t>
        </is>
      </c>
      <c r="B51" s="71" t="n">
        <v>960529.63</v>
      </c>
      <c r="C51" s="106" t="n">
        <v>0.3547348804184243</v>
      </c>
    </row>
    <row r="52">
      <c r="A52" s="102" t="n"/>
      <c r="B52" s="65" t="n"/>
      <c r="C52" s="103" t="n"/>
    </row>
    <row r="53">
      <c r="A53" s="107" t="inlineStr">
        <is>
          <t>I. OPERATING EXPENSES</t>
        </is>
      </c>
      <c r="B53" s="67" t="n"/>
      <c r="C53" s="108" t="n"/>
    </row>
    <row r="54">
      <c r="A54" s="102" t="inlineStr">
        <is>
          <t xml:space="preserve">    Banks &amp; Finance Charges</t>
        </is>
      </c>
      <c r="B54" s="68" t="n">
        <v>-174.7</v>
      </c>
      <c r="C54" s="104" t="n">
        <v>6.451876305897895e-05</v>
      </c>
    </row>
    <row r="55">
      <c r="A55" s="102" t="inlineStr">
        <is>
          <t xml:space="preserve">    Administrative Expenses</t>
        </is>
      </c>
      <c r="B55" s="68" t="n">
        <v>-182203.04</v>
      </c>
      <c r="C55" s="104" t="n">
        <v>0.06728972390604274</v>
      </c>
    </row>
    <row r="56">
      <c r="A56" s="102" t="inlineStr">
        <is>
          <t xml:space="preserve">    Salaries (Admin Mgmt)</t>
        </is>
      </c>
      <c r="B56" s="68" t="n">
        <v>-250692</v>
      </c>
      <c r="C56" s="104" t="n">
        <v>0.09258350171025502</v>
      </c>
    </row>
    <row r="57">
      <c r="A57" s="90" t="inlineStr">
        <is>
          <t xml:space="preserve">    Legal &amp; CA expenses</t>
        </is>
      </c>
      <c r="B57" s="68" t="n">
        <v>-101250</v>
      </c>
      <c r="C57" s="92" t="n">
        <v>0.0373928148810625</v>
      </c>
    </row>
    <row r="58">
      <c r="A58" s="64" t="inlineStr">
        <is>
          <t xml:space="preserve">    Other Operating Expenses</t>
        </is>
      </c>
      <c r="B58" s="68" t="n">
        <v>-22323.56</v>
      </c>
      <c r="C58" s="69" t="n">
        <v>0.008244353052506584</v>
      </c>
    </row>
    <row r="59">
      <c r="A59" s="120" t="inlineStr">
        <is>
          <t xml:space="preserve">    Staff Welfare &amp; Events</t>
        </is>
      </c>
      <c r="B59" s="121" t="n">
        <v>-1230</v>
      </c>
      <c r="C59" s="122" t="n">
        <v>0.0004542534548514259</v>
      </c>
    </row>
    <row r="60">
      <c r="A60" s="64" t="inlineStr">
        <is>
          <t xml:space="preserve">    Miscellaneous (Travel, insurance)</t>
        </is>
      </c>
      <c r="B60" s="68" t="n">
        <v>-7068</v>
      </c>
      <c r="C60" s="69" t="n">
        <v>0.002610295462512096</v>
      </c>
    </row>
    <row r="61">
      <c r="A61" s="96" t="inlineStr">
        <is>
          <t>TOTAL OPERATING EXPENSES</t>
        </is>
      </c>
      <c r="B61" s="71" t="n">
        <v>-564941.3</v>
      </c>
      <c r="C61" s="74" t="n">
        <v>0.2086394612302893</v>
      </c>
    </row>
    <row r="62">
      <c r="A62" s="102" t="n"/>
      <c r="B62" s="65" t="n"/>
      <c r="C62" s="103" t="n"/>
    </row>
    <row r="63">
      <c r="A63" s="112" t="inlineStr">
        <is>
          <t>EBITDA</t>
        </is>
      </c>
      <c r="B63" s="71" t="n">
        <v>395588.33</v>
      </c>
      <c r="C63" s="113" t="n">
        <v>0.146095419188135</v>
      </c>
    </row>
    <row r="64">
      <c r="A64" s="64" t="n"/>
      <c r="B64" s="65" t="n"/>
      <c r="C64" s="65" t="n"/>
    </row>
    <row r="65">
      <c r="A65" s="54" t="inlineStr">
        <is>
          <t>J. NON-OPERATING (I+D+A+Tax)</t>
        </is>
      </c>
      <c r="B65" s="67" t="n"/>
      <c r="C65" s="67" t="n"/>
    </row>
    <row r="66">
      <c r="A66" s="137" t="inlineStr">
        <is>
          <t xml:space="preserve">    Less: Interest Expense</t>
        </is>
      </c>
      <c r="B66" s="138" t="n">
        <v>-46878</v>
      </c>
      <c r="C66" s="139" t="n">
        <v>0.01731259630611801</v>
      </c>
    </row>
    <row r="67">
      <c r="A67" s="70" t="inlineStr">
        <is>
          <t>TOTAL NON-OPERATING</t>
        </is>
      </c>
      <c r="B67" s="71" t="n">
        <v>-46878</v>
      </c>
      <c r="C67" s="74" t="n">
        <v>0.01731259630611801</v>
      </c>
    </row>
    <row r="68">
      <c r="B68" s="62" t="n"/>
      <c r="C68" s="62" t="n"/>
    </row>
    <row r="69">
      <c r="B69" s="62" t="n"/>
      <c r="C69" s="62" t="n"/>
    </row>
    <row r="70">
      <c r="A70" s="70" t="inlineStr">
        <is>
          <t>NET INCOME</t>
        </is>
      </c>
      <c r="B70" s="71" t="n">
        <v>348710.33</v>
      </c>
      <c r="C70" s="74" t="n">
        <v>0.128782822882017</v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0" customWidth="1" style="2" min="1" max="1"/>
    <col width="17" customWidth="1" style="2" min="2" max="2"/>
    <col width="13" customWidth="1" style="2" min="3" max="3"/>
  </cols>
  <sheetData>
    <row r="1" ht="24" customHeight="1" s="2">
      <c r="A1" s="61" t="inlineStr">
        <is>
          <t>Jul 2024 - PROFIT &amp; LOSS STATEMENT</t>
        </is>
      </c>
    </row>
    <row r="2">
      <c r="A2" s="63" t="inlineStr">
        <is>
          <t>Heatronics Pvt Ltd</t>
        </is>
      </c>
    </row>
    <row r="3">
      <c r="A3" s="81" t="inlineStr">
        <is>
          <t>Generated: 24 Jan 2026</t>
        </is>
      </c>
      <c r="B3" s="51" t="n"/>
      <c r="C3" s="51" t="n"/>
    </row>
    <row r="4">
      <c r="A4" s="64" t="n"/>
      <c r="B4" s="65" t="n"/>
      <c r="C4" s="65" t="n"/>
    </row>
    <row r="5">
      <c r="A5" s="83" t="inlineStr">
        <is>
          <t>Revenue Formula: Net Revenue = Gross Revenue - Returns - Discounts - Taxes (GST)</t>
        </is>
      </c>
      <c r="B5" s="65" t="n"/>
      <c r="C5" s="65" t="n"/>
    </row>
    <row r="6">
      <c r="A6" s="64" t="n"/>
      <c r="B6" s="65" t="n"/>
      <c r="C6" s="65" t="n"/>
    </row>
    <row r="7">
      <c r="A7" s="84" t="inlineStr">
        <is>
          <t>Particulars</t>
        </is>
      </c>
      <c r="B7" s="85" t="inlineStr">
        <is>
          <t>Amount (₹)</t>
        </is>
      </c>
      <c r="C7" s="85" t="inlineStr">
        <is>
          <t>% of Revenue</t>
        </is>
      </c>
    </row>
    <row r="8">
      <c r="A8" s="86" t="inlineStr">
        <is>
          <t>A. GROSS REVENUE (from Sales Register, by channel)</t>
        </is>
      </c>
      <c r="B8" s="67" t="n"/>
      <c r="C8" s="67" t="n"/>
    </row>
    <row r="9">
      <c r="A9" s="87" t="inlineStr">
        <is>
          <t xml:space="preserve">    Amazon</t>
        </is>
      </c>
      <c r="B9" s="88" t="n">
        <v>1599824</v>
      </c>
      <c r="C9" s="89" t="n">
        <v>0.7507392263122803</v>
      </c>
    </row>
    <row r="10">
      <c r="A10" s="87" t="inlineStr">
        <is>
          <t xml:space="preserve">    OEM</t>
        </is>
      </c>
      <c r="B10" s="88" t="n">
        <v>656250</v>
      </c>
      <c r="C10" s="89" t="n">
        <v>0.3079542607608299</v>
      </c>
    </row>
    <row r="11">
      <c r="A11" s="90" t="inlineStr">
        <is>
          <t xml:space="preserve">    Offline</t>
        </is>
      </c>
      <c r="B11" s="91" t="n">
        <v>90315</v>
      </c>
      <c r="C11" s="92" t="n">
        <v>0.04238154523522188</v>
      </c>
    </row>
    <row r="12">
      <c r="A12" s="70" t="inlineStr">
        <is>
          <t>TOTAL GROSS REVENUE</t>
        </is>
      </c>
      <c r="B12" s="71" t="n">
        <v>2346389</v>
      </c>
      <c r="C12" s="72" t="n"/>
    </row>
    <row r="13">
      <c r="A13" s="93" t="inlineStr"/>
      <c r="B13" s="65" t="n"/>
      <c r="C13" s="65" t="n"/>
    </row>
    <row r="14">
      <c r="A14" s="94" t="inlineStr">
        <is>
          <t>B. RETURNS</t>
        </is>
      </c>
      <c r="B14" s="67" t="n"/>
      <c r="C14" s="95" t="n"/>
    </row>
    <row r="15">
      <c r="A15" s="87" t="inlineStr">
        <is>
          <t xml:space="preserve">    Amazon Returns</t>
        </is>
      </c>
      <c r="B15" s="73" t="n">
        <v>-94033</v>
      </c>
      <c r="C15" s="89" t="n">
        <v>-0.04412626743180666</v>
      </c>
    </row>
    <row r="16">
      <c r="A16" s="90" t="inlineStr">
        <is>
          <t xml:space="preserve">    OEM Returns</t>
        </is>
      </c>
      <c r="B16" s="73" t="n">
        <v>-14826</v>
      </c>
      <c r="C16" s="92" t="n">
        <v>-0.00695730265910867</v>
      </c>
    </row>
    <row r="17">
      <c r="A17" s="70" t="inlineStr">
        <is>
          <t>TOTAL RETURNS</t>
        </is>
      </c>
      <c r="B17" s="71" t="n">
        <v>-108859</v>
      </c>
      <c r="C17" s="74" t="n">
        <v>-0.05108357009091533</v>
      </c>
    </row>
    <row r="18">
      <c r="A18" s="93" t="inlineStr"/>
      <c r="B18" s="65" t="n"/>
      <c r="C18" s="65" t="n"/>
    </row>
    <row r="19">
      <c r="A19" s="125" t="inlineStr">
        <is>
          <t>D. TAXES (GST Collected)</t>
        </is>
      </c>
      <c r="B19" s="67" t="n"/>
      <c r="C19" s="126" t="n"/>
    </row>
    <row r="20">
      <c r="A20" s="70" t="inlineStr">
        <is>
          <t>TOTAL TAXES</t>
        </is>
      </c>
      <c r="B20" s="71" t="n">
        <v>-106531.72</v>
      </c>
      <c r="C20" s="74" t="n">
        <v>0.04999146221741672</v>
      </c>
    </row>
    <row r="21">
      <c r="A21" s="127" t="inlineStr"/>
      <c r="B21" s="128" t="n"/>
      <c r="C21" s="128" t="n"/>
    </row>
    <row r="22">
      <c r="A22" s="75" t="inlineStr">
        <is>
          <t>NET REVENUE (external)</t>
        </is>
      </c>
      <c r="B22" s="76" t="n">
        <v>2130998.28</v>
      </c>
      <c r="C22" s="77" t="n">
        <v>1</v>
      </c>
    </row>
    <row r="23">
      <c r="A23" s="93" t="inlineStr"/>
      <c r="B23" s="65" t="n"/>
      <c r="C23" s="65" t="n"/>
    </row>
    <row r="24">
      <c r="A24" s="102" t="inlineStr">
        <is>
          <t>Add: Inter-branch (Internal) Transactions</t>
        </is>
      </c>
      <c r="B24" s="68" t="n">
        <v>0</v>
      </c>
      <c r="C24" s="104" t="n">
        <v>0</v>
      </c>
    </row>
    <row r="25">
      <c r="A25" s="105" t="inlineStr">
        <is>
          <t>TURNOVER (Total — audited basis)</t>
        </is>
      </c>
      <c r="B25" s="71" t="n">
        <v>2130998.28</v>
      </c>
      <c r="C25" s="106" t="n">
        <v>1</v>
      </c>
    </row>
    <row r="26">
      <c r="A26" s="102" t="inlineStr"/>
      <c r="B26" s="65" t="n"/>
      <c r="C26" s="103" t="n"/>
    </row>
    <row r="27">
      <c r="A27" s="107" t="inlineStr">
        <is>
          <t>E. COST OF GOODS MANUFACTURED (COGM)</t>
        </is>
      </c>
      <c r="B27" s="67" t="n"/>
      <c r="C27" s="108" t="n"/>
    </row>
    <row r="28">
      <c r="A28" s="102" t="inlineStr">
        <is>
          <t xml:space="preserve">    Raw Materials &amp; Inventory</t>
        </is>
      </c>
      <c r="B28" s="68" t="n">
        <v>-659932.27</v>
      </c>
      <c r="C28" s="104" t="n">
        <v>0.3096822161677203</v>
      </c>
    </row>
    <row r="29">
      <c r="A29" s="102" t="inlineStr">
        <is>
          <t xml:space="preserve">    Consumables</t>
        </is>
      </c>
      <c r="B29" s="68" t="n">
        <v>-2000</v>
      </c>
      <c r="C29" s="104" t="n">
        <v>0.0009385272708901483</v>
      </c>
    </row>
    <row r="30">
      <c r="A30" s="90" t="inlineStr">
        <is>
          <t xml:space="preserve">    Factory Maintenance</t>
        </is>
      </c>
      <c r="B30" s="68" t="n">
        <v>-39231</v>
      </c>
      <c r="C30" s="92" t="n">
        <v>0.01840968168214571</v>
      </c>
    </row>
    <row r="31">
      <c r="A31" s="64" t="inlineStr">
        <is>
          <t xml:space="preserve">    Inbound Transport</t>
        </is>
      </c>
      <c r="B31" s="68" t="n">
        <v>-3700</v>
      </c>
      <c r="C31" s="69" t="n">
        <v>0.001736275451146774</v>
      </c>
    </row>
    <row r="32">
      <c r="A32" s="109" t="inlineStr">
        <is>
          <t xml:space="preserve">    Job work</t>
        </is>
      </c>
      <c r="B32" s="110" t="n">
        <v>-107413</v>
      </c>
      <c r="C32" s="111" t="n">
        <v>0.05040501487406175</v>
      </c>
    </row>
    <row r="33">
      <c r="A33" s="64" t="inlineStr">
        <is>
          <t xml:space="preserve">    Manufacturing Wages</t>
        </is>
      </c>
      <c r="B33" s="68" t="n">
        <v>-4000</v>
      </c>
      <c r="C33" s="69" t="n">
        <v>0.001877054541780297</v>
      </c>
    </row>
    <row r="34">
      <c r="A34" s="70" t="inlineStr">
        <is>
          <t>TOTAL COGM</t>
        </is>
      </c>
      <c r="B34" s="71" t="n">
        <v>-156344</v>
      </c>
      <c r="C34" s="74" t="n">
        <v>0.07336655382002467</v>
      </c>
    </row>
    <row r="35">
      <c r="A35" s="129" t="n"/>
      <c r="B35" s="160" t="n"/>
      <c r="C35" s="160" t="n"/>
    </row>
    <row r="36">
      <c r="A36" s="70" t="inlineStr">
        <is>
          <t>GROSS MARGIN</t>
        </is>
      </c>
      <c r="B36" s="71" t="n">
        <v>1314722.01</v>
      </c>
      <c r="C36" s="74" t="n">
        <v>0.6169512300122552</v>
      </c>
    </row>
    <row r="37">
      <c r="A37" s="93" t="n"/>
      <c r="B37" s="65" t="n"/>
      <c r="C37" s="65" t="n"/>
    </row>
    <row r="38">
      <c r="A38" s="102" t="n"/>
      <c r="B38" s="65" t="n"/>
      <c r="C38" s="103" t="n"/>
    </row>
    <row r="39">
      <c r="A39" s="112" t="inlineStr">
        <is>
          <t>CM1 (Contribution Margin 1)</t>
        </is>
      </c>
      <c r="B39" s="71" t="n">
        <v>1315088.01</v>
      </c>
      <c r="C39" s="113" t="n">
        <v>0.6171229805028281</v>
      </c>
    </row>
    <row r="40">
      <c r="A40" s="64" t="n"/>
      <c r="B40" s="65" t="n"/>
      <c r="C40" s="65" t="n"/>
    </row>
    <row r="41">
      <c r="A41" s="132" t="inlineStr">
        <is>
          <t>G. SALES &amp; MARKETING</t>
        </is>
      </c>
      <c r="B41" s="133" t="n"/>
      <c r="C41" s="133" t="n"/>
    </row>
    <row r="42">
      <c r="A42" s="64" t="inlineStr">
        <is>
          <t xml:space="preserve">    Advertising &amp; Marketing</t>
        </is>
      </c>
      <c r="B42" s="68" t="n">
        <v>-727793.8</v>
      </c>
      <c r="C42" s="69" t="n">
        <v>0.3415271644423852</v>
      </c>
    </row>
    <row r="43">
      <c r="A43" s="70" t="inlineStr">
        <is>
          <t>TOTAL SALES &amp; MARKETING</t>
        </is>
      </c>
      <c r="B43" s="71" t="n">
        <v>-727793.8</v>
      </c>
      <c r="C43" s="74" t="n">
        <v>0.3415271644423852</v>
      </c>
    </row>
    <row r="44">
      <c r="A44" s="140" t="n"/>
      <c r="B44" s="141" t="n"/>
      <c r="C44" s="141" t="n"/>
    </row>
    <row r="45">
      <c r="A45" s="70" t="inlineStr">
        <is>
          <t>CM2 (Contribution Margin 2)</t>
        </is>
      </c>
      <c r="B45" s="71" t="n">
        <v>587294.21</v>
      </c>
      <c r="C45" s="74" t="n">
        <v>0.2755958160604428</v>
      </c>
    </row>
    <row r="46">
      <c r="A46" s="93" t="n"/>
      <c r="B46" s="65" t="n"/>
      <c r="C46" s="65" t="n"/>
    </row>
    <row r="47">
      <c r="A47" s="102" t="n"/>
      <c r="B47" s="65" t="n"/>
      <c r="C47" s="103" t="n"/>
    </row>
    <row r="48">
      <c r="A48" s="105" t="inlineStr">
        <is>
          <t>CM3 (Contribution Margin 3)</t>
        </is>
      </c>
      <c r="B48" s="71" t="n">
        <v>587294.21</v>
      </c>
      <c r="C48" s="106" t="n">
        <v>0.2755958160604428</v>
      </c>
    </row>
    <row r="49">
      <c r="A49" s="102" t="n"/>
      <c r="B49" s="65" t="n"/>
      <c r="C49" s="103" t="n"/>
    </row>
    <row r="50">
      <c r="A50" s="107" t="inlineStr">
        <is>
          <t>I. OPERATING EXPENSES</t>
        </is>
      </c>
      <c r="B50" s="67" t="n"/>
      <c r="C50" s="108" t="n"/>
    </row>
    <row r="51">
      <c r="A51" s="102" t="inlineStr">
        <is>
          <t xml:space="preserve">    Banks &amp; Finance Charges</t>
        </is>
      </c>
      <c r="B51" s="68" t="n">
        <v>-38.39</v>
      </c>
      <c r="C51" s="104" t="n">
        <v>1.80150309647364e-05</v>
      </c>
    </row>
    <row r="52">
      <c r="A52" s="102" t="inlineStr">
        <is>
          <t xml:space="preserve">    Other Operating Expenses</t>
        </is>
      </c>
      <c r="B52" s="68" t="n">
        <v>-18550.93</v>
      </c>
      <c r="C52" s="104" t="n">
        <v>0.008705276852687091</v>
      </c>
    </row>
    <row r="53">
      <c r="A53" s="102" t="inlineStr">
        <is>
          <t xml:space="preserve">    Miscellaneous (Travel, insurance)</t>
        </is>
      </c>
      <c r="B53" s="68" t="n">
        <v>-4457.23</v>
      </c>
      <c r="C53" s="104" t="n">
        <v>0.002091615953814848</v>
      </c>
    </row>
    <row r="54">
      <c r="A54" s="90" t="inlineStr">
        <is>
          <t xml:space="preserve">    Salaries (Admin Mgmt)</t>
        </is>
      </c>
      <c r="B54" s="68" t="n">
        <v>-263873</v>
      </c>
      <c r="C54" s="92" t="n">
        <v>0.1238260032757981</v>
      </c>
    </row>
    <row r="55">
      <c r="A55" s="64" t="inlineStr">
        <is>
          <t xml:space="preserve">    Legal &amp; CA expenses</t>
        </is>
      </c>
      <c r="B55" s="68" t="n">
        <v>-7500</v>
      </c>
      <c r="C55" s="69" t="n">
        <v>0.003519477265838056</v>
      </c>
    </row>
    <row r="56">
      <c r="A56" s="120" t="inlineStr">
        <is>
          <t xml:space="preserve">    Administrative Expenses</t>
        </is>
      </c>
      <c r="B56" s="121" t="n">
        <v>-217351.03</v>
      </c>
      <c r="C56" s="122" t="n">
        <v>0.1019949345055314</v>
      </c>
    </row>
    <row r="57">
      <c r="A57" s="64" t="inlineStr">
        <is>
          <t xml:space="preserve">    Staff Welfare &amp; Events</t>
        </is>
      </c>
      <c r="B57" s="68" t="n">
        <v>-9316</v>
      </c>
      <c r="C57" s="69" t="n">
        <v>0.004371660027806311</v>
      </c>
    </row>
    <row r="58">
      <c r="A58" s="96" t="inlineStr">
        <is>
          <t>TOTAL OPERATING EXPENSES</t>
        </is>
      </c>
      <c r="B58" s="71" t="n">
        <v>-521086.58</v>
      </c>
      <c r="C58" s="74" t="n">
        <v>0.2445269829124405</v>
      </c>
    </row>
    <row r="59">
      <c r="A59" s="102" t="n"/>
      <c r="B59" s="65" t="n"/>
      <c r="C59" s="103" t="n"/>
    </row>
    <row r="60">
      <c r="A60" s="112" t="inlineStr">
        <is>
          <t>EBITDA</t>
        </is>
      </c>
      <c r="B60" s="71" t="n">
        <v>66207.63</v>
      </c>
      <c r="C60" s="113" t="n">
        <v>0.03106883314800236</v>
      </c>
    </row>
    <row r="61">
      <c r="A61" s="64" t="n"/>
      <c r="B61" s="65" t="n"/>
      <c r="C61" s="65" t="n"/>
    </row>
    <row r="62">
      <c r="A62" s="54" t="inlineStr">
        <is>
          <t>J. NON-OPERATING (I+D+A+Tax)</t>
        </is>
      </c>
      <c r="B62" s="67" t="n"/>
      <c r="C62" s="67" t="n"/>
    </row>
    <row r="63">
      <c r="A63" s="137" t="inlineStr">
        <is>
          <t xml:space="preserve">    Less: Interest Expense</t>
        </is>
      </c>
      <c r="B63" s="138" t="n">
        <v>-41002</v>
      </c>
      <c r="C63" s="139" t="n">
        <v>0.01924074758051893</v>
      </c>
    </row>
    <row r="64">
      <c r="A64" s="70" t="inlineStr">
        <is>
          <t>TOTAL NON-OPERATING</t>
        </is>
      </c>
      <c r="B64" s="71" t="n">
        <v>-41002</v>
      </c>
      <c r="C64" s="74" t="n">
        <v>0.01924074758051893</v>
      </c>
    </row>
    <row r="65">
      <c r="B65" s="62" t="n"/>
      <c r="C65" s="62" t="n"/>
    </row>
    <row r="66">
      <c r="B66" s="62" t="n"/>
      <c r="C66" s="62" t="n"/>
    </row>
    <row r="67">
      <c r="A67" s="70" t="inlineStr">
        <is>
          <t>NET INCOME</t>
        </is>
      </c>
      <c r="B67" s="71" t="n">
        <v>25205.63</v>
      </c>
      <c r="C67" s="74" t="n">
        <v>0.01182808556748343</v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0" customWidth="1" style="2" min="1" max="1"/>
    <col width="17" customWidth="1" style="2" min="2" max="2"/>
    <col width="13" customWidth="1" style="2" min="3" max="3"/>
  </cols>
  <sheetData>
    <row r="1" ht="24" customHeight="1" s="2">
      <c r="A1" s="61" t="inlineStr">
        <is>
          <t>Jun 2024 - PROFIT &amp; LOSS STATEMENT</t>
        </is>
      </c>
    </row>
    <row r="2">
      <c r="A2" s="63" t="inlineStr">
        <is>
          <t>Heatronics Pvt Ltd</t>
        </is>
      </c>
    </row>
    <row r="3">
      <c r="A3" s="81" t="inlineStr">
        <is>
          <t>Generated: 24 Jan 2026</t>
        </is>
      </c>
      <c r="B3" s="51" t="n"/>
      <c r="C3" s="51" t="n"/>
    </row>
    <row r="4">
      <c r="A4" s="64" t="n"/>
      <c r="B4" s="65" t="n"/>
      <c r="C4" s="65" t="n"/>
    </row>
    <row r="5">
      <c r="A5" s="83" t="inlineStr">
        <is>
          <t>Revenue Formula: Net Revenue = Gross Revenue - Returns - Discounts - Taxes (GST)</t>
        </is>
      </c>
      <c r="B5" s="65" t="n"/>
      <c r="C5" s="65" t="n"/>
    </row>
    <row r="6">
      <c r="A6" s="64" t="n"/>
      <c r="B6" s="65" t="n"/>
      <c r="C6" s="65" t="n"/>
    </row>
    <row r="7">
      <c r="A7" s="84" t="inlineStr">
        <is>
          <t>Particulars</t>
        </is>
      </c>
      <c r="B7" s="85" t="inlineStr">
        <is>
          <t>Amount (₹)</t>
        </is>
      </c>
      <c r="C7" s="85" t="inlineStr">
        <is>
          <t>% of Revenue</t>
        </is>
      </c>
    </row>
    <row r="8">
      <c r="A8" s="86" t="inlineStr">
        <is>
          <t>A. GROSS REVENUE (from Sales Register, by channel)</t>
        </is>
      </c>
      <c r="B8" s="67" t="n"/>
      <c r="C8" s="67" t="n"/>
    </row>
    <row r="9">
      <c r="A9" s="87" t="inlineStr">
        <is>
          <t xml:space="preserve">    Amazon</t>
        </is>
      </c>
      <c r="B9" s="88" t="n">
        <v>1377296</v>
      </c>
      <c r="C9" s="89" t="n">
        <v>0.6945283492843186</v>
      </c>
    </row>
    <row r="10">
      <c r="A10" s="87" t="inlineStr">
        <is>
          <t xml:space="preserve">    OEM</t>
        </is>
      </c>
      <c r="B10" s="88" t="n">
        <v>359625</v>
      </c>
      <c r="C10" s="89" t="n">
        <v>0.1813479147629653</v>
      </c>
    </row>
    <row r="11">
      <c r="A11" s="90" t="inlineStr">
        <is>
          <t xml:space="preserve">    Offline</t>
        </is>
      </c>
      <c r="B11" s="91" t="n">
        <v>388876</v>
      </c>
      <c r="C11" s="92" t="n">
        <v>0.1960983015679191</v>
      </c>
    </row>
    <row r="12">
      <c r="A12" s="70" t="inlineStr">
        <is>
          <t>TOTAL GROSS REVENUE</t>
        </is>
      </c>
      <c r="B12" s="71" t="n">
        <v>2125797</v>
      </c>
      <c r="C12" s="72" t="n"/>
    </row>
    <row r="13">
      <c r="A13" s="93" t="inlineStr"/>
      <c r="B13" s="65" t="n"/>
      <c r="C13" s="65" t="n"/>
    </row>
    <row r="14">
      <c r="A14" s="94" t="inlineStr">
        <is>
          <t>B. RETURNS</t>
        </is>
      </c>
      <c r="B14" s="67" t="n"/>
      <c r="C14" s="95" t="n"/>
    </row>
    <row r="15">
      <c r="A15" s="90" t="inlineStr">
        <is>
          <t xml:space="preserve">    Amazon Returns</t>
        </is>
      </c>
      <c r="B15" s="73" t="n">
        <v>-43577</v>
      </c>
      <c r="C15" s="92" t="n">
        <v>-0.02197455149565725</v>
      </c>
    </row>
    <row r="16">
      <c r="A16" s="70" t="inlineStr">
        <is>
          <t>TOTAL RETURNS</t>
        </is>
      </c>
      <c r="B16" s="71" t="n">
        <v>-43577</v>
      </c>
      <c r="C16" s="74" t="n">
        <v>-0.02197455149565725</v>
      </c>
    </row>
    <row r="17">
      <c r="A17" s="93" t="inlineStr"/>
      <c r="B17" s="65" t="n"/>
      <c r="C17" s="65" t="n"/>
    </row>
    <row r="18">
      <c r="A18" s="125" t="inlineStr">
        <is>
          <t>D. TAXES (GST Collected)</t>
        </is>
      </c>
      <c r="B18" s="67" t="n"/>
      <c r="C18" s="126" t="n"/>
    </row>
    <row r="19">
      <c r="A19" s="70" t="inlineStr">
        <is>
          <t>TOTAL TAXES</t>
        </is>
      </c>
      <c r="B19" s="71" t="n">
        <v>-99153.36</v>
      </c>
      <c r="C19" s="74" t="n">
        <v>0.05000001411954568</v>
      </c>
    </row>
    <row r="20">
      <c r="A20" s="127" t="inlineStr"/>
      <c r="B20" s="128" t="n"/>
      <c r="C20" s="128" t="n"/>
    </row>
    <row r="21">
      <c r="A21" s="75" t="inlineStr">
        <is>
          <t>NET REVENUE (external)</t>
        </is>
      </c>
      <c r="B21" s="76" t="n">
        <v>1983066.64</v>
      </c>
      <c r="C21" s="77" t="n">
        <v>1</v>
      </c>
    </row>
    <row r="22">
      <c r="A22" s="93" t="inlineStr"/>
      <c r="B22" s="65" t="n"/>
      <c r="C22" s="65" t="n"/>
    </row>
    <row r="23">
      <c r="A23" s="102" t="inlineStr">
        <is>
          <t>Add: Inter-branch (Internal) Transactions</t>
        </is>
      </c>
      <c r="B23" s="68" t="n">
        <v>0</v>
      </c>
      <c r="C23" s="104" t="n">
        <v>0</v>
      </c>
    </row>
    <row r="24">
      <c r="A24" s="105" t="inlineStr">
        <is>
          <t>TURNOVER (Total — audited basis)</t>
        </is>
      </c>
      <c r="B24" s="71" t="n">
        <v>1983066.64</v>
      </c>
      <c r="C24" s="106" t="n">
        <v>1</v>
      </c>
    </row>
    <row r="25">
      <c r="A25" s="102" t="inlineStr"/>
      <c r="B25" s="65" t="n"/>
      <c r="C25" s="103" t="n"/>
    </row>
    <row r="26">
      <c r="A26" s="107" t="inlineStr">
        <is>
          <t>E. COST OF GOODS MANUFACTURED (COGM)</t>
        </is>
      </c>
      <c r="B26" s="67" t="n"/>
      <c r="C26" s="108" t="n"/>
    </row>
    <row r="27">
      <c r="A27" s="102" t="inlineStr">
        <is>
          <t xml:space="preserve">    Raw Materials &amp; Inventory</t>
        </is>
      </c>
      <c r="B27" s="68" t="n">
        <v>-614120.47</v>
      </c>
      <c r="C27" s="104" t="n">
        <v>0.3096822152179414</v>
      </c>
    </row>
    <row r="28">
      <c r="A28" s="90" t="inlineStr">
        <is>
          <t xml:space="preserve">    Consumables</t>
        </is>
      </c>
      <c r="B28" s="68" t="n">
        <v>-3980</v>
      </c>
      <c r="C28" s="92" t="n">
        <v>0.002006992563800075</v>
      </c>
    </row>
    <row r="29">
      <c r="A29" s="64" t="inlineStr">
        <is>
          <t xml:space="preserve">    Factory Maintenance</t>
        </is>
      </c>
      <c r="B29" s="68" t="n">
        <v>-55889</v>
      </c>
      <c r="C29" s="69" t="n">
        <v>0.02818311743673929</v>
      </c>
    </row>
    <row r="30">
      <c r="A30" s="109" t="inlineStr">
        <is>
          <t xml:space="preserve">    Inbound Transport</t>
        </is>
      </c>
      <c r="B30" s="110" t="n">
        <v>-600</v>
      </c>
      <c r="C30" s="111" t="n">
        <v>0.0003025616930351872</v>
      </c>
    </row>
    <row r="31">
      <c r="A31" s="64" t="inlineStr">
        <is>
          <t xml:space="preserve">    Job work</t>
        </is>
      </c>
      <c r="B31" s="68" t="n">
        <v>-172610</v>
      </c>
      <c r="C31" s="69" t="n">
        <v>0.08704195639133944</v>
      </c>
    </row>
    <row r="32">
      <c r="A32" s="96" t="inlineStr">
        <is>
          <t>TOTAL COGM</t>
        </is>
      </c>
      <c r="B32" s="71" t="n">
        <v>-233079</v>
      </c>
      <c r="C32" s="74" t="n">
        <v>0.117534628084914</v>
      </c>
    </row>
    <row r="33">
      <c r="A33" s="102" t="n"/>
      <c r="B33" s="65" t="n"/>
      <c r="C33" s="103" t="n"/>
    </row>
    <row r="34">
      <c r="A34" s="112" t="inlineStr">
        <is>
          <t>GROSS MARGIN</t>
        </is>
      </c>
      <c r="B34" s="71" t="n">
        <v>1135867.17</v>
      </c>
      <c r="C34" s="113" t="n">
        <v>0.5727831566971445</v>
      </c>
    </row>
    <row r="35">
      <c r="A35" s="64" t="n"/>
      <c r="B35" s="65" t="n"/>
      <c r="C35" s="65" t="n"/>
    </row>
    <row r="36">
      <c r="A36" s="114" t="inlineStr">
        <is>
          <t>F. CHANNEL &amp; FULFILLMENT</t>
        </is>
      </c>
      <c r="B36" s="115" t="n"/>
      <c r="C36" s="115" t="n"/>
    </row>
    <row r="37">
      <c r="A37" s="64" t="inlineStr">
        <is>
          <t xml:space="preserve">    D2C Fees</t>
        </is>
      </c>
      <c r="B37" s="68" t="n">
        <v>-8535</v>
      </c>
      <c r="C37" s="69" t="n">
        <v>0.004303940083425537</v>
      </c>
    </row>
    <row r="38">
      <c r="A38" s="96" t="inlineStr">
        <is>
          <t>TOTAL CHANNEL &amp; FULFILLMENT</t>
        </is>
      </c>
      <c r="B38" s="71" t="n">
        <v>-8535</v>
      </c>
      <c r="C38" s="74" t="n">
        <v>0.004303940083425537</v>
      </c>
    </row>
    <row r="39">
      <c r="A39" s="102" t="n"/>
      <c r="B39" s="65" t="n"/>
      <c r="C39" s="103" t="n"/>
    </row>
    <row r="40">
      <c r="A40" s="112" t="inlineStr">
        <is>
          <t>CM1 (Contribution Margin 1)</t>
        </is>
      </c>
      <c r="B40" s="71" t="n">
        <v>1127332.17</v>
      </c>
      <c r="C40" s="113" t="n">
        <v>0.568479216613719</v>
      </c>
    </row>
    <row r="41">
      <c r="A41" s="64" t="n"/>
      <c r="B41" s="65" t="n"/>
      <c r="C41" s="65" t="n"/>
    </row>
    <row r="42">
      <c r="A42" s="132" t="inlineStr">
        <is>
          <t>G. SALES &amp; MARKETING</t>
        </is>
      </c>
      <c r="B42" s="133" t="n"/>
      <c r="C42" s="133" t="n"/>
    </row>
    <row r="43">
      <c r="A43" s="64" t="inlineStr">
        <is>
          <t xml:space="preserve">    Advertising &amp; Marketing</t>
        </is>
      </c>
      <c r="B43" s="68" t="n">
        <v>-539595.83</v>
      </c>
      <c r="C43" s="69" t="n">
        <v>0.2721017131325451</v>
      </c>
    </row>
    <row r="44">
      <c r="A44" s="70" t="inlineStr">
        <is>
          <t>TOTAL SALES &amp; MARKETING</t>
        </is>
      </c>
      <c r="B44" s="71" t="n">
        <v>-539595.83</v>
      </c>
      <c r="C44" s="74" t="n">
        <v>0.2721017131325451</v>
      </c>
    </row>
    <row r="45">
      <c r="A45" s="140" t="n"/>
      <c r="B45" s="141" t="n"/>
      <c r="C45" s="141" t="n"/>
    </row>
    <row r="46">
      <c r="A46" s="70" t="inlineStr">
        <is>
          <t>CM2 (Contribution Margin 2)</t>
        </is>
      </c>
      <c r="B46" s="71" t="n">
        <v>587736.34</v>
      </c>
      <c r="C46" s="74" t="n">
        <v>0.296377503481174</v>
      </c>
    </row>
    <row r="47">
      <c r="A47" s="93" t="n"/>
      <c r="B47" s="65" t="n"/>
      <c r="C47" s="65" t="n"/>
    </row>
    <row r="48">
      <c r="A48" s="102" t="n"/>
      <c r="B48" s="65" t="n"/>
      <c r="C48" s="103" t="n"/>
    </row>
    <row r="49">
      <c r="A49" s="105" t="inlineStr">
        <is>
          <t>CM3 (Contribution Margin 3)</t>
        </is>
      </c>
      <c r="B49" s="71" t="n">
        <v>587736.34</v>
      </c>
      <c r="C49" s="106" t="n">
        <v>0.296377503481174</v>
      </c>
    </row>
    <row r="50">
      <c r="A50" s="102" t="n"/>
      <c r="B50" s="65" t="n"/>
      <c r="C50" s="103" t="n"/>
    </row>
    <row r="51">
      <c r="A51" s="107" t="inlineStr">
        <is>
          <t>I. OPERATING EXPENSES</t>
        </is>
      </c>
      <c r="B51" s="67" t="n"/>
      <c r="C51" s="108" t="n"/>
    </row>
    <row r="52">
      <c r="A52" s="102" t="inlineStr">
        <is>
          <t xml:space="preserve">    Banks &amp; Finance Charges</t>
        </is>
      </c>
      <c r="B52" s="68" t="n">
        <v>-63506.42</v>
      </c>
      <c r="C52" s="104" t="n">
        <v>0.03202434992300612</v>
      </c>
    </row>
    <row r="53">
      <c r="A53" s="102" t="inlineStr">
        <is>
          <t xml:space="preserve">    Other Operating Expenses</t>
        </is>
      </c>
      <c r="B53" s="68" t="n">
        <v>-25312.24</v>
      </c>
      <c r="C53" s="104" t="n">
        <v>0.01276419031485498</v>
      </c>
    </row>
    <row r="54">
      <c r="A54" s="102" t="inlineStr">
        <is>
          <t xml:space="preserve">    Salaries (Admin Mgmt)</t>
        </is>
      </c>
      <c r="B54" s="68" t="n">
        <v>-279331</v>
      </c>
      <c r="C54" s="104" t="n">
        <v>0.1408581004620198</v>
      </c>
    </row>
    <row r="55">
      <c r="A55" s="90" t="inlineStr">
        <is>
          <t xml:space="preserve">    Miscellaneous (Travel, insurance)</t>
        </is>
      </c>
      <c r="B55" s="68" t="n">
        <v>-43619</v>
      </c>
      <c r="C55" s="92" t="n">
        <v>0.02199573081416972</v>
      </c>
    </row>
    <row r="56">
      <c r="A56" s="64" t="inlineStr">
        <is>
          <t xml:space="preserve">    Legal &amp; CA expenses</t>
        </is>
      </c>
      <c r="B56" s="68" t="n">
        <v>-7500</v>
      </c>
      <c r="C56" s="69" t="n">
        <v>0.00378202116293984</v>
      </c>
    </row>
    <row r="57">
      <c r="A57" s="120" t="inlineStr">
        <is>
          <t xml:space="preserve">    Administrative Expenses</t>
        </is>
      </c>
      <c r="B57" s="121" t="n">
        <v>-173915.9</v>
      </c>
      <c r="C57" s="122" t="n">
        <v>0.08770048191623052</v>
      </c>
    </row>
    <row r="58">
      <c r="A58" s="64" t="inlineStr">
        <is>
          <t xml:space="preserve">    Staff Welfare &amp; Events</t>
        </is>
      </c>
      <c r="B58" s="68" t="n">
        <v>-8010</v>
      </c>
      <c r="C58" s="69" t="n">
        <v>0.004039198602019749</v>
      </c>
    </row>
    <row r="59">
      <c r="A59" s="96" t="inlineStr">
        <is>
          <t>TOTAL OPERATING EXPENSES</t>
        </is>
      </c>
      <c r="B59" s="71" t="n">
        <v>-601194.5600000001</v>
      </c>
      <c r="C59" s="74" t="n">
        <v>0.3031640731952407</v>
      </c>
    </row>
    <row r="60">
      <c r="A60" s="102" t="n"/>
      <c r="B60" s="65" t="n"/>
      <c r="C60" s="103" t="n"/>
    </row>
    <row r="61">
      <c r="A61" s="112" t="inlineStr">
        <is>
          <t>EBITDA</t>
        </is>
      </c>
      <c r="B61" s="71" t="n">
        <v>-13458.22</v>
      </c>
      <c r="C61" s="113" t="n">
        <v>-0.006786569714066694</v>
      </c>
    </row>
    <row r="62">
      <c r="A62" s="64" t="n"/>
      <c r="B62" s="65" t="n"/>
      <c r="C62" s="65" t="n"/>
    </row>
    <row r="63">
      <c r="A63" s="54" t="inlineStr">
        <is>
          <t>J. NON-OPERATING (I+D+A+Tax)</t>
        </is>
      </c>
      <c r="B63" s="67" t="n"/>
      <c r="C63" s="67" t="n"/>
    </row>
    <row r="64">
      <c r="A64" s="134" t="inlineStr">
        <is>
          <t xml:space="preserve">    Less: Interest Expense</t>
        </is>
      </c>
      <c r="B64" s="135" t="n">
        <v>-34664</v>
      </c>
      <c r="C64" s="136" t="n">
        <v>0.01747999754561955</v>
      </c>
    </row>
    <row r="65">
      <c r="A65" s="70" t="inlineStr">
        <is>
          <t>TOTAL NON-OPERATING</t>
        </is>
      </c>
      <c r="B65" s="71" t="n">
        <v>-34664</v>
      </c>
      <c r="C65" s="74" t="n">
        <v>0.01747999754561955</v>
      </c>
    </row>
    <row r="66">
      <c r="B66" s="62" t="n"/>
      <c r="C66" s="62" t="n"/>
    </row>
    <row r="67">
      <c r="B67" s="62" t="n"/>
      <c r="C67" s="62" t="n"/>
    </row>
    <row r="68">
      <c r="A68" s="70" t="inlineStr">
        <is>
          <t>NET INCOME</t>
        </is>
      </c>
      <c r="B68" s="71" t="n">
        <v>-48122.22</v>
      </c>
      <c r="C68" s="74" t="n">
        <v>-0.02426656725968624</v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0" customWidth="1" style="2" min="1" max="1"/>
    <col width="17" customWidth="1" style="2" min="2" max="2"/>
    <col width="13" customWidth="1" style="2" min="3" max="3"/>
  </cols>
  <sheetData>
    <row r="1" ht="24" customHeight="1" s="2">
      <c r="A1" s="61" t="inlineStr">
        <is>
          <t>May 2024 - PROFIT &amp; LOSS STATEMENT</t>
        </is>
      </c>
    </row>
    <row r="2">
      <c r="A2" s="63" t="inlineStr">
        <is>
          <t>Heatronics Pvt Ltd</t>
        </is>
      </c>
    </row>
    <row r="3">
      <c r="A3" s="81" t="inlineStr">
        <is>
          <t>Generated: 24 Jan 2026</t>
        </is>
      </c>
      <c r="B3" s="51" t="n"/>
      <c r="C3" s="51" t="n"/>
    </row>
    <row r="4">
      <c r="A4" s="64" t="n"/>
      <c r="B4" s="65" t="n"/>
      <c r="C4" s="65" t="n"/>
    </row>
    <row r="5">
      <c r="A5" s="83" t="inlineStr">
        <is>
          <t>Revenue Formula: Net Revenue = Gross Revenue - Returns - Discounts - Taxes (GST)</t>
        </is>
      </c>
      <c r="B5" s="65" t="n"/>
      <c r="C5" s="65" t="n"/>
    </row>
    <row r="6">
      <c r="A6" s="64" t="n"/>
      <c r="B6" s="65" t="n"/>
      <c r="C6" s="65" t="n"/>
    </row>
    <row r="7">
      <c r="A7" s="84" t="inlineStr">
        <is>
          <t>Particulars</t>
        </is>
      </c>
      <c r="B7" s="85" t="inlineStr">
        <is>
          <t>Amount (₹)</t>
        </is>
      </c>
      <c r="C7" s="85" t="inlineStr">
        <is>
          <t>% of Revenue</t>
        </is>
      </c>
    </row>
    <row r="8">
      <c r="A8" s="86" t="inlineStr">
        <is>
          <t>A. GROSS REVENUE (from Sales Register, by channel)</t>
        </is>
      </c>
      <c r="B8" s="67" t="n"/>
      <c r="C8" s="67" t="n"/>
    </row>
    <row r="9">
      <c r="A9" s="87" t="inlineStr">
        <is>
          <t xml:space="preserve">    Amazon</t>
        </is>
      </c>
      <c r="B9" s="88" t="n">
        <v>1065173</v>
      </c>
      <c r="C9" s="89" t="n">
        <v>0.7646407213062014</v>
      </c>
    </row>
    <row r="10">
      <c r="A10" s="87" t="inlineStr">
        <is>
          <t xml:space="preserve">    OEM</t>
        </is>
      </c>
      <c r="B10" s="88" t="n">
        <v>397505</v>
      </c>
      <c r="C10" s="89" t="n">
        <v>0.28535130905761</v>
      </c>
    </row>
    <row r="11">
      <c r="A11" s="90" t="inlineStr">
        <is>
          <t xml:space="preserve">    Offline</t>
        </is>
      </c>
      <c r="B11" s="91" t="n">
        <v>59469</v>
      </c>
      <c r="C11" s="92" t="n">
        <v>0.04269017244650258</v>
      </c>
    </row>
    <row r="12">
      <c r="A12" s="70" t="inlineStr">
        <is>
          <t>TOTAL GROSS REVENUE</t>
        </is>
      </c>
      <c r="B12" s="71" t="n">
        <v>1522147</v>
      </c>
      <c r="C12" s="72" t="n"/>
    </row>
    <row r="13">
      <c r="A13" s="93" t="inlineStr"/>
      <c r="B13" s="65" t="n"/>
      <c r="C13" s="65" t="n"/>
    </row>
    <row r="14">
      <c r="A14" s="94" t="inlineStr">
        <is>
          <t>B. RETURNS</t>
        </is>
      </c>
      <c r="B14" s="67" t="n"/>
      <c r="C14" s="95" t="n"/>
    </row>
    <row r="15">
      <c r="A15" s="87" t="inlineStr">
        <is>
          <t xml:space="preserve">    Amazon Returns</t>
        </is>
      </c>
      <c r="B15" s="73" t="n">
        <v>-58071</v>
      </c>
      <c r="C15" s="89" t="n">
        <v>-0.04168660989996219</v>
      </c>
    </row>
    <row r="16">
      <c r="A16" s="90" t="inlineStr">
        <is>
          <t xml:space="preserve">    OEM Returns</t>
        </is>
      </c>
      <c r="B16" s="73" t="n">
        <v>-1575</v>
      </c>
      <c r="C16" s="92" t="n">
        <v>-0.001130623040630271</v>
      </c>
    </row>
    <row r="17">
      <c r="A17" s="70" t="inlineStr">
        <is>
          <t>TOTAL RETURNS</t>
        </is>
      </c>
      <c r="B17" s="71" t="n">
        <v>-59646</v>
      </c>
      <c r="C17" s="74" t="n">
        <v>-0.04281723294059245</v>
      </c>
    </row>
    <row r="18">
      <c r="A18" s="93" t="inlineStr"/>
      <c r="B18" s="65" t="n"/>
      <c r="C18" s="65" t="n"/>
    </row>
    <row r="19">
      <c r="A19" s="125" t="inlineStr">
        <is>
          <t>D. TAXES (GST Collected)</t>
        </is>
      </c>
      <c r="B19" s="67" t="n"/>
      <c r="C19" s="126" t="n"/>
    </row>
    <row r="20">
      <c r="A20" s="70" t="inlineStr">
        <is>
          <t>TOTAL TAXES</t>
        </is>
      </c>
      <c r="B20" s="71" t="n">
        <v>-69463.75999999999</v>
      </c>
      <c r="C20" s="74" t="n">
        <v>0.0498649698697215</v>
      </c>
    </row>
    <row r="21">
      <c r="A21" s="127" t="inlineStr"/>
      <c r="B21" s="128" t="n"/>
      <c r="C21" s="128" t="n"/>
    </row>
    <row r="22">
      <c r="A22" s="75" t="inlineStr">
        <is>
          <t>NET REVENUE (external)</t>
        </is>
      </c>
      <c r="B22" s="76" t="n">
        <v>1393037.24</v>
      </c>
      <c r="C22" s="77" t="n">
        <v>1</v>
      </c>
    </row>
    <row r="23">
      <c r="A23" s="93" t="inlineStr"/>
      <c r="B23" s="65" t="n"/>
      <c r="C23" s="65" t="n"/>
    </row>
    <row r="24">
      <c r="A24" s="102" t="inlineStr">
        <is>
          <t>Add: Inter-branch (Internal) Transactions</t>
        </is>
      </c>
      <c r="B24" s="68" t="n">
        <v>0</v>
      </c>
      <c r="C24" s="104" t="n">
        <v>0</v>
      </c>
    </row>
    <row r="25">
      <c r="A25" s="105" t="inlineStr">
        <is>
          <t>TURNOVER (Total — audited basis)</t>
        </is>
      </c>
      <c r="B25" s="71" t="n">
        <v>1393037.24</v>
      </c>
      <c r="C25" s="106" t="n">
        <v>1</v>
      </c>
    </row>
    <row r="26">
      <c r="A26" s="102" t="inlineStr"/>
      <c r="B26" s="65" t="n"/>
      <c r="C26" s="103" t="n"/>
    </row>
    <row r="27">
      <c r="A27" s="107" t="inlineStr">
        <is>
          <t>E. COST OF GOODS MANUFACTURED (COGM)</t>
        </is>
      </c>
      <c r="B27" s="67" t="n"/>
      <c r="C27" s="108" t="n"/>
    </row>
    <row r="28">
      <c r="A28" s="102" t="inlineStr">
        <is>
          <t xml:space="preserve">    Raw Materials &amp; Inventory</t>
        </is>
      </c>
      <c r="B28" s="68" t="n">
        <v>-431398.86</v>
      </c>
      <c r="C28" s="104" t="n">
        <v>0.3096822163921475</v>
      </c>
    </row>
    <row r="29">
      <c r="A29" s="90" t="inlineStr">
        <is>
          <t xml:space="preserve">    Consumables</t>
        </is>
      </c>
      <c r="B29" s="68" t="n">
        <v>-9485</v>
      </c>
      <c r="C29" s="92" t="n">
        <v>0.006808863200240074</v>
      </c>
    </row>
    <row r="30">
      <c r="A30" s="64" t="inlineStr">
        <is>
          <t xml:space="preserve">    Factory Maintenance</t>
        </is>
      </c>
      <c r="B30" s="68" t="n">
        <v>-31845</v>
      </c>
      <c r="C30" s="69" t="n">
        <v>0.02286012109769585</v>
      </c>
    </row>
    <row r="31">
      <c r="A31" s="109" t="inlineStr">
        <is>
          <t xml:space="preserve">    Inbound Transport</t>
        </is>
      </c>
      <c r="B31" s="110" t="n">
        <v>-3300</v>
      </c>
      <c r="C31" s="111" t="n">
        <v>0.002368924466082472</v>
      </c>
    </row>
    <row r="32">
      <c r="A32" s="64" t="inlineStr">
        <is>
          <t xml:space="preserve">    Job work</t>
        </is>
      </c>
      <c r="B32" s="68" t="n">
        <v>-97100.95</v>
      </c>
      <c r="C32" s="69" t="n">
        <v>0.06970448973783357</v>
      </c>
    </row>
    <row r="33">
      <c r="A33" s="96" t="inlineStr">
        <is>
          <t>TOTAL COGM</t>
        </is>
      </c>
      <c r="B33" s="71" t="n">
        <v>-141730.95</v>
      </c>
      <c r="C33" s="74" t="n">
        <v>0.101742398501852</v>
      </c>
    </row>
    <row r="34">
      <c r="A34" s="102" t="n"/>
      <c r="B34" s="65" t="n"/>
      <c r="C34" s="103" t="n"/>
    </row>
    <row r="35">
      <c r="A35" s="112" t="inlineStr">
        <is>
          <t>GROSS MARGIN</t>
        </is>
      </c>
      <c r="B35" s="71" t="n">
        <v>819907.4300000001</v>
      </c>
      <c r="C35" s="113" t="n">
        <v>0.5885753851060005</v>
      </c>
    </row>
    <row r="36">
      <c r="A36" s="64" t="n"/>
      <c r="B36" s="65" t="n"/>
      <c r="C36" s="65" t="n"/>
    </row>
    <row r="37">
      <c r="A37" s="114" t="inlineStr">
        <is>
          <t>F. CHANNEL &amp; FULFILLMENT</t>
        </is>
      </c>
      <c r="B37" s="115" t="n"/>
      <c r="C37" s="115" t="n"/>
    </row>
    <row r="38">
      <c r="A38" s="64" t="inlineStr">
        <is>
          <t xml:space="preserve">    D2C Fees</t>
        </is>
      </c>
      <c r="B38" s="68" t="n">
        <v>-15375</v>
      </c>
      <c r="C38" s="69" t="n">
        <v>0.01103703444424788</v>
      </c>
    </row>
    <row r="39">
      <c r="A39" s="96" t="inlineStr">
        <is>
          <t>TOTAL CHANNEL &amp; FULFILLMENT</t>
        </is>
      </c>
      <c r="B39" s="71" t="n">
        <v>-15375</v>
      </c>
      <c r="C39" s="74" t="n">
        <v>0.01103703444424788</v>
      </c>
    </row>
    <row r="40">
      <c r="A40" s="102" t="n"/>
      <c r="B40" s="65" t="n"/>
      <c r="C40" s="103" t="n"/>
    </row>
    <row r="41">
      <c r="A41" s="112" t="inlineStr">
        <is>
          <t>CM1 (Contribution Margin 1)</t>
        </is>
      </c>
      <c r="B41" s="71" t="n">
        <v>804532.4300000001</v>
      </c>
      <c r="C41" s="113" t="n">
        <v>0.5775383506617526</v>
      </c>
    </row>
    <row r="42">
      <c r="A42" s="64" t="n"/>
      <c r="B42" s="65" t="n"/>
      <c r="C42" s="65" t="n"/>
    </row>
    <row r="43">
      <c r="A43" s="132" t="inlineStr">
        <is>
          <t>G. SALES &amp; MARKETING</t>
        </is>
      </c>
      <c r="B43" s="133" t="n"/>
      <c r="C43" s="133" t="n"/>
    </row>
    <row r="44">
      <c r="A44" s="64" t="inlineStr">
        <is>
          <t xml:space="preserve">    Advertising &amp; Marketing</t>
        </is>
      </c>
      <c r="B44" s="68" t="n">
        <v>-476482.31</v>
      </c>
      <c r="C44" s="69" t="n">
        <v>0.3420456369134827</v>
      </c>
    </row>
    <row r="45">
      <c r="A45" s="70" t="inlineStr">
        <is>
          <t>TOTAL SALES &amp; MARKETING</t>
        </is>
      </c>
      <c r="B45" s="71" t="n">
        <v>-476482.31</v>
      </c>
      <c r="C45" s="74" t="n">
        <v>0.3420456369134827</v>
      </c>
    </row>
    <row r="46">
      <c r="A46" s="140" t="n"/>
      <c r="B46" s="141" t="n"/>
      <c r="C46" s="141" t="n"/>
    </row>
    <row r="47">
      <c r="A47" s="70" t="inlineStr">
        <is>
          <t>CM2 (Contribution Margin 2)</t>
        </is>
      </c>
      <c r="B47" s="71" t="n">
        <v>328050.12</v>
      </c>
      <c r="C47" s="74" t="n">
        <v>0.2354927137482699</v>
      </c>
    </row>
    <row r="48">
      <c r="A48" s="93" t="n"/>
      <c r="B48" s="65" t="n"/>
      <c r="C48" s="65" t="n"/>
    </row>
    <row r="49">
      <c r="A49" s="102" t="n"/>
      <c r="B49" s="65" t="n"/>
      <c r="C49" s="103" t="n"/>
    </row>
    <row r="50">
      <c r="A50" s="105" t="inlineStr">
        <is>
          <t>CM3 (Contribution Margin 3)</t>
        </is>
      </c>
      <c r="B50" s="71" t="n">
        <v>328050.12</v>
      </c>
      <c r="C50" s="106" t="n">
        <v>0.2354927137482699</v>
      </c>
    </row>
    <row r="51">
      <c r="A51" s="102" t="n"/>
      <c r="B51" s="65" t="n"/>
      <c r="C51" s="103" t="n"/>
    </row>
    <row r="52">
      <c r="A52" s="107" t="inlineStr">
        <is>
          <t>I. OPERATING EXPENSES</t>
        </is>
      </c>
      <c r="B52" s="67" t="n"/>
      <c r="C52" s="108" t="n"/>
    </row>
    <row r="53">
      <c r="A53" s="102" t="inlineStr">
        <is>
          <t xml:space="preserve">    Legal &amp; CA expenses</t>
        </is>
      </c>
      <c r="B53" s="68" t="n">
        <v>-170122</v>
      </c>
      <c r="C53" s="104" t="n">
        <v>0.1221230812178431</v>
      </c>
    </row>
    <row r="54">
      <c r="A54" s="102" t="inlineStr">
        <is>
          <t xml:space="preserve">    Banks &amp; Finance Charges</t>
        </is>
      </c>
      <c r="B54" s="68" t="n">
        <v>-224.5</v>
      </c>
      <c r="C54" s="104" t="n">
        <v>0.0001611586492834894</v>
      </c>
    </row>
    <row r="55">
      <c r="A55" s="90" t="inlineStr">
        <is>
          <t xml:space="preserve">    Other Operating Expenses</t>
        </is>
      </c>
      <c r="B55" s="68" t="n">
        <v>-12707.31</v>
      </c>
      <c r="C55" s="92" t="n">
        <v>0.009122017441543773</v>
      </c>
    </row>
    <row r="56">
      <c r="A56" s="64" t="inlineStr">
        <is>
          <t xml:space="preserve">    Salaries (Admin Mgmt)</t>
        </is>
      </c>
      <c r="B56" s="68" t="n">
        <v>-267920</v>
      </c>
      <c r="C56" s="69" t="n">
        <v>0.1923279524099442</v>
      </c>
    </row>
    <row r="57">
      <c r="A57" s="120" t="inlineStr">
        <is>
          <t xml:space="preserve">    Administrative Expenses</t>
        </is>
      </c>
      <c r="B57" s="121" t="n">
        <v>-188626.68</v>
      </c>
      <c r="C57" s="122" t="n">
        <v>0.1354067749114876</v>
      </c>
    </row>
    <row r="58">
      <c r="A58" s="64" t="inlineStr">
        <is>
          <t xml:space="preserve">    Staff Welfare &amp; Events</t>
        </is>
      </c>
      <c r="B58" s="68" t="n">
        <v>-45739</v>
      </c>
      <c r="C58" s="69" t="n">
        <v>0.03283401095580187</v>
      </c>
    </row>
    <row r="59">
      <c r="A59" s="96" t="inlineStr">
        <is>
          <t>TOTAL OPERATING EXPENSES</t>
        </is>
      </c>
      <c r="B59" s="71" t="n">
        <v>-685339.49</v>
      </c>
      <c r="C59" s="74" t="n">
        <v>0.4919749955859041</v>
      </c>
    </row>
    <row r="60">
      <c r="A60" s="102" t="n"/>
      <c r="B60" s="65" t="n"/>
      <c r="C60" s="103" t="n"/>
    </row>
    <row r="61">
      <c r="A61" s="112" t="inlineStr">
        <is>
          <t>EBITDA</t>
        </is>
      </c>
      <c r="B61" s="71" t="n">
        <v>-357289.37</v>
      </c>
      <c r="C61" s="113" t="n">
        <v>-0.2564822818376342</v>
      </c>
    </row>
    <row r="62">
      <c r="A62" s="64" t="n"/>
      <c r="B62" s="65" t="n"/>
      <c r="C62" s="65" t="n"/>
    </row>
    <row r="63">
      <c r="A63" s="54" t="inlineStr">
        <is>
          <t>J. NON-OPERATING (I+D+A+Tax)</t>
        </is>
      </c>
      <c r="B63" s="67" t="n"/>
      <c r="C63" s="67" t="n"/>
    </row>
    <row r="64">
      <c r="A64" s="134" t="inlineStr">
        <is>
          <t xml:space="preserve">    Less: Interest Expense</t>
        </is>
      </c>
      <c r="B64" s="135" t="n">
        <v>-26474</v>
      </c>
      <c r="C64" s="136" t="n">
        <v>0.01900451706517193</v>
      </c>
    </row>
    <row r="65">
      <c r="A65" s="70" t="inlineStr">
        <is>
          <t>TOTAL NON-OPERATING</t>
        </is>
      </c>
      <c r="B65" s="71" t="n">
        <v>-26474</v>
      </c>
      <c r="C65" s="74" t="n">
        <v>0.01900451706517193</v>
      </c>
    </row>
    <row r="66">
      <c r="B66" s="62" t="n"/>
      <c r="C66" s="62" t="n"/>
    </row>
    <row r="67">
      <c r="B67" s="62" t="n"/>
      <c r="C67" s="62" t="n"/>
    </row>
    <row r="68">
      <c r="A68" s="70" t="inlineStr">
        <is>
          <t>NET INCOME</t>
        </is>
      </c>
      <c r="B68" s="71" t="n">
        <v>-383763.37</v>
      </c>
      <c r="C68" s="74" t="n">
        <v>-0.2754867989028061</v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0" customWidth="1" style="2" min="1" max="1"/>
    <col width="17" customWidth="1" style="2" min="2" max="2"/>
    <col width="13" customWidth="1" style="2" min="3" max="3"/>
  </cols>
  <sheetData>
    <row r="1" ht="24" customHeight="1" s="2">
      <c r="A1" s="61" t="inlineStr">
        <is>
          <t>Apr 2024 - PROFIT &amp; LOSS STATEMENT</t>
        </is>
      </c>
    </row>
    <row r="2">
      <c r="A2" s="63" t="inlineStr">
        <is>
          <t>Heatronics Pvt Ltd</t>
        </is>
      </c>
    </row>
    <row r="3">
      <c r="A3" s="81" t="inlineStr">
        <is>
          <t>Generated: 24 Jan 2026</t>
        </is>
      </c>
      <c r="B3" s="51" t="n"/>
      <c r="C3" s="51" t="n"/>
    </row>
    <row r="4">
      <c r="A4" s="64" t="n"/>
      <c r="B4" s="65" t="n"/>
      <c r="C4" s="65" t="n"/>
    </row>
    <row r="5">
      <c r="A5" s="83" t="inlineStr">
        <is>
          <t>Revenue Formula: Net Revenue = Gross Revenue - Returns - Discounts - Taxes (GST)</t>
        </is>
      </c>
      <c r="B5" s="65" t="n"/>
      <c r="C5" s="65" t="n"/>
    </row>
    <row r="6">
      <c r="A6" s="64" t="n"/>
      <c r="B6" s="65" t="n"/>
      <c r="C6" s="65" t="n"/>
    </row>
    <row r="7">
      <c r="A7" s="84" t="inlineStr">
        <is>
          <t>Particulars</t>
        </is>
      </c>
      <c r="B7" s="85" t="inlineStr">
        <is>
          <t>Amount (₹)</t>
        </is>
      </c>
      <c r="C7" s="85" t="inlineStr">
        <is>
          <t>% of Revenue</t>
        </is>
      </c>
    </row>
    <row r="8">
      <c r="A8" s="86" t="inlineStr">
        <is>
          <t>A. GROSS REVENUE (from Sales Register, by channel)</t>
        </is>
      </c>
      <c r="B8" s="67" t="n"/>
      <c r="C8" s="67" t="n"/>
    </row>
    <row r="9">
      <c r="A9" s="87" t="inlineStr">
        <is>
          <t xml:space="preserve">    Amazon</t>
        </is>
      </c>
      <c r="B9" s="88" t="n">
        <v>834242</v>
      </c>
      <c r="C9" s="89" t="n">
        <v>0.9512418674311763</v>
      </c>
    </row>
    <row r="10">
      <c r="A10" s="87" t="inlineStr">
        <is>
          <t xml:space="preserve">    OEM</t>
        </is>
      </c>
      <c r="B10" s="88" t="n">
        <v>159075</v>
      </c>
      <c r="C10" s="89" t="n">
        <v>0.1813847781118841</v>
      </c>
    </row>
    <row r="11">
      <c r="A11" s="90" t="inlineStr">
        <is>
          <t xml:space="preserve">    Offline</t>
        </is>
      </c>
      <c r="B11" s="91" t="n">
        <v>28330</v>
      </c>
      <c r="C11" s="92" t="n">
        <v>0.03230319512123008</v>
      </c>
    </row>
    <row r="12">
      <c r="A12" s="70" t="inlineStr">
        <is>
          <t>TOTAL GROSS REVENUE</t>
        </is>
      </c>
      <c r="B12" s="71" t="n">
        <v>1021647</v>
      </c>
      <c r="C12" s="72" t="n"/>
    </row>
    <row r="13">
      <c r="A13" s="93" t="inlineStr"/>
      <c r="B13" s="65" t="n"/>
      <c r="C13" s="65" t="n"/>
    </row>
    <row r="14">
      <c r="A14" s="94" t="inlineStr">
        <is>
          <t>B. RETURNS</t>
        </is>
      </c>
      <c r="B14" s="67" t="n"/>
      <c r="C14" s="95" t="n"/>
    </row>
    <row r="15">
      <c r="A15" s="87" t="inlineStr">
        <is>
          <t xml:space="preserve">    Amazon Returns</t>
        </is>
      </c>
      <c r="B15" s="73" t="n">
        <v>-36533</v>
      </c>
      <c r="C15" s="89" t="n">
        <v>-0.04165664057055767</v>
      </c>
    </row>
    <row r="16">
      <c r="A16" s="90" t="inlineStr">
        <is>
          <t xml:space="preserve">    OEM Returns</t>
        </is>
      </c>
      <c r="B16" s="73" t="n">
        <v>-64261</v>
      </c>
      <c r="C16" s="92" t="n">
        <v>-0.07327340704854805</v>
      </c>
    </row>
    <row r="17">
      <c r="A17" s="70" t="inlineStr">
        <is>
          <t>TOTAL RETURNS</t>
        </is>
      </c>
      <c r="B17" s="71" t="n">
        <v>-100794</v>
      </c>
      <c r="C17" s="74" t="n">
        <v>-0.1149300476191057</v>
      </c>
    </row>
    <row r="18">
      <c r="A18" s="93" t="inlineStr"/>
      <c r="B18" s="65" t="n"/>
      <c r="C18" s="65" t="n"/>
    </row>
    <row r="19">
      <c r="A19" s="125" t="inlineStr">
        <is>
          <t>D. TAXES (GST Collected)</t>
        </is>
      </c>
      <c r="B19" s="67" t="n"/>
      <c r="C19" s="126" t="n"/>
    </row>
    <row r="20">
      <c r="A20" s="70" t="inlineStr">
        <is>
          <t>TOTAL TAXES</t>
        </is>
      </c>
      <c r="B20" s="71" t="n">
        <v>-43849.97</v>
      </c>
      <c r="C20" s="74" t="n">
        <v>0.0499997930451848</v>
      </c>
    </row>
    <row r="21">
      <c r="A21" s="127" t="inlineStr"/>
      <c r="B21" s="128" t="n"/>
      <c r="C21" s="128" t="n"/>
    </row>
    <row r="22">
      <c r="A22" s="75" t="inlineStr">
        <is>
          <t>NET REVENUE (external)</t>
        </is>
      </c>
      <c r="B22" s="76" t="n">
        <v>877003.03</v>
      </c>
      <c r="C22" s="77" t="n">
        <v>1</v>
      </c>
    </row>
    <row r="23">
      <c r="A23" s="93" t="inlineStr"/>
      <c r="B23" s="65" t="n"/>
      <c r="C23" s="65" t="n"/>
    </row>
    <row r="24">
      <c r="A24" s="102" t="inlineStr">
        <is>
          <t>Add: Inter-branch (Internal) Transactions</t>
        </is>
      </c>
      <c r="B24" s="68" t="n">
        <v>0</v>
      </c>
      <c r="C24" s="104" t="n">
        <v>0</v>
      </c>
    </row>
    <row r="25">
      <c r="A25" s="105" t="inlineStr">
        <is>
          <t>TURNOVER (Total — audited basis)</t>
        </is>
      </c>
      <c r="B25" s="71" t="n">
        <v>877003.03</v>
      </c>
      <c r="C25" s="106" t="n">
        <v>1</v>
      </c>
    </row>
    <row r="26">
      <c r="A26" s="102" t="inlineStr"/>
      <c r="B26" s="65" t="n"/>
      <c r="C26" s="103" t="n"/>
    </row>
    <row r="27">
      <c r="A27" s="107" t="inlineStr">
        <is>
          <t>E. COST OF GOODS MANUFACTURED (COGM)</t>
        </is>
      </c>
      <c r="B27" s="67" t="n"/>
      <c r="C27" s="108" t="n"/>
    </row>
    <row r="28">
      <c r="A28" s="90" t="inlineStr">
        <is>
          <t xml:space="preserve">    Raw Materials &amp; Inventory</t>
        </is>
      </c>
      <c r="B28" s="68" t="n">
        <v>-271592.24</v>
      </c>
      <c r="C28" s="92" t="n">
        <v>0.3096822139827726</v>
      </c>
    </row>
    <row r="29">
      <c r="A29" s="64" t="inlineStr">
        <is>
          <t xml:space="preserve">    Consumables</t>
        </is>
      </c>
      <c r="B29" s="68" t="n">
        <v>-7655</v>
      </c>
      <c r="C29" s="69" t="n">
        <v>0.008728590139534637</v>
      </c>
    </row>
    <row r="30">
      <c r="A30" s="109" t="inlineStr">
        <is>
          <t xml:space="preserve">    Factory Maintenance</t>
        </is>
      </c>
      <c r="B30" s="110" t="n">
        <v>-27901</v>
      </c>
      <c r="C30" s="111" t="n">
        <v>0.03181402919440313</v>
      </c>
    </row>
    <row r="31">
      <c r="A31" s="64" t="inlineStr">
        <is>
          <t xml:space="preserve">    Job work</t>
        </is>
      </c>
      <c r="B31" s="68" t="n">
        <v>-146587</v>
      </c>
      <c r="C31" s="69" t="n">
        <v>0.1671453746288653</v>
      </c>
    </row>
    <row r="32">
      <c r="A32" s="96" t="inlineStr">
        <is>
          <t>TOTAL COGM</t>
        </is>
      </c>
      <c r="B32" s="71" t="n">
        <v>-182143</v>
      </c>
      <c r="C32" s="74" t="n">
        <v>0.2076879939628031</v>
      </c>
    </row>
    <row r="33">
      <c r="A33" s="102" t="n"/>
      <c r="B33" s="65" t="n"/>
      <c r="C33" s="103" t="n"/>
    </row>
    <row r="34">
      <c r="A34" s="112" t="inlineStr">
        <is>
          <t>GROSS MARGIN</t>
        </is>
      </c>
      <c r="B34" s="71" t="n">
        <v>423267.79</v>
      </c>
      <c r="C34" s="113" t="n">
        <v>0.4826297920544242</v>
      </c>
    </row>
    <row r="35">
      <c r="A35" s="64" t="n"/>
      <c r="B35" s="65" t="n"/>
      <c r="C35" s="65" t="n"/>
    </row>
    <row r="36">
      <c r="A36" s="114" t="inlineStr">
        <is>
          <t>F. CHANNEL &amp; FULFILLMENT</t>
        </is>
      </c>
      <c r="B36" s="115" t="n"/>
      <c r="C36" s="115" t="n"/>
    </row>
    <row r="37">
      <c r="A37" s="64" t="inlineStr">
        <is>
          <t xml:space="preserve">    D2C Fees</t>
        </is>
      </c>
      <c r="B37" s="68" t="n">
        <v>-8405</v>
      </c>
      <c r="C37" s="69" t="n">
        <v>0.009583775326295053</v>
      </c>
    </row>
    <row r="38">
      <c r="A38" s="96" t="inlineStr">
        <is>
          <t>TOTAL CHANNEL &amp; FULFILLMENT</t>
        </is>
      </c>
      <c r="B38" s="71" t="n">
        <v>-8405</v>
      </c>
      <c r="C38" s="74" t="n">
        <v>0.009583775326295053</v>
      </c>
    </row>
    <row r="39">
      <c r="A39" s="102" t="n"/>
      <c r="B39" s="65" t="n"/>
      <c r="C39" s="103" t="n"/>
    </row>
    <row r="40">
      <c r="A40" s="112" t="inlineStr">
        <is>
          <t>CM1 (Contribution Margin 1)</t>
        </is>
      </c>
      <c r="B40" s="71" t="n">
        <v>414862.79</v>
      </c>
      <c r="C40" s="113" t="n">
        <v>0.4730460167281292</v>
      </c>
    </row>
    <row r="41">
      <c r="A41" s="64" t="n"/>
      <c r="B41" s="65" t="n"/>
      <c r="C41" s="65" t="n"/>
    </row>
    <row r="42">
      <c r="A42" s="132" t="inlineStr">
        <is>
          <t>G. SALES &amp; MARKETING</t>
        </is>
      </c>
      <c r="B42" s="133" t="n"/>
      <c r="C42" s="133" t="n"/>
    </row>
    <row r="43">
      <c r="A43" s="64" t="inlineStr">
        <is>
          <t xml:space="preserve">    Advertising &amp; Marketing</t>
        </is>
      </c>
      <c r="B43" s="68" t="n">
        <v>-340507.7</v>
      </c>
      <c r="C43" s="69" t="n">
        <v>0.3882628546904792</v>
      </c>
    </row>
    <row r="44">
      <c r="A44" s="70" t="inlineStr">
        <is>
          <t>TOTAL SALES &amp; MARKETING</t>
        </is>
      </c>
      <c r="B44" s="71" t="n">
        <v>-340507.7</v>
      </c>
      <c r="C44" s="74" t="n">
        <v>0.3882628546904792</v>
      </c>
    </row>
    <row r="45">
      <c r="A45" s="140" t="n"/>
      <c r="B45" s="141" t="n"/>
      <c r="C45" s="141" t="n"/>
    </row>
    <row r="46">
      <c r="A46" s="70" t="inlineStr">
        <is>
          <t>CM2 (Contribution Margin 2)</t>
        </is>
      </c>
      <c r="B46" s="71" t="n">
        <v>74355.09</v>
      </c>
      <c r="C46" s="74" t="n">
        <v>0.08478316203764996</v>
      </c>
    </row>
    <row r="47">
      <c r="A47" s="93" t="n"/>
      <c r="B47" s="65" t="n"/>
      <c r="C47" s="65" t="n"/>
    </row>
    <row r="48">
      <c r="A48" s="102" t="n"/>
      <c r="B48" s="65" t="n"/>
      <c r="C48" s="103" t="n"/>
    </row>
    <row r="49">
      <c r="A49" s="105" t="inlineStr">
        <is>
          <t>CM3 (Contribution Margin 3)</t>
        </is>
      </c>
      <c r="B49" s="71" t="n">
        <v>74355.09</v>
      </c>
      <c r="C49" s="106" t="n">
        <v>0.08478316203764996</v>
      </c>
    </row>
    <row r="50">
      <c r="A50" s="102" t="n"/>
      <c r="B50" s="65" t="n"/>
      <c r="C50" s="103" t="n"/>
    </row>
    <row r="51">
      <c r="A51" s="107" t="inlineStr">
        <is>
          <t>I. OPERATING EXPENSES</t>
        </is>
      </c>
      <c r="B51" s="67" t="n"/>
      <c r="C51" s="108" t="n"/>
    </row>
    <row r="52">
      <c r="A52" s="102" t="inlineStr">
        <is>
          <t xml:space="preserve">    Other Operating Expenses</t>
        </is>
      </c>
      <c r="B52" s="68" t="n">
        <v>-18261.78</v>
      </c>
      <c r="C52" s="104" t="n">
        <v>0.02082293831983682</v>
      </c>
    </row>
    <row r="53">
      <c r="A53" s="90" t="inlineStr">
        <is>
          <t xml:space="preserve">    Salaries (Admin Mgmt)</t>
        </is>
      </c>
      <c r="B53" s="68" t="n">
        <v>-443190</v>
      </c>
      <c r="C53" s="92" t="n">
        <v>0.5053460305604646</v>
      </c>
    </row>
    <row r="54">
      <c r="A54" s="64" t="inlineStr">
        <is>
          <t xml:space="preserve">    Administrative Expenses</t>
        </is>
      </c>
      <c r="B54" s="68" t="n">
        <v>-159606.21</v>
      </c>
      <c r="C54" s="69" t="n">
        <v>0.1819904886759627</v>
      </c>
    </row>
    <row r="55">
      <c r="A55" s="120" t="inlineStr">
        <is>
          <t xml:space="preserve">    Legal &amp; CA expenses</t>
        </is>
      </c>
      <c r="B55" s="121" t="n">
        <v>-39500</v>
      </c>
      <c r="C55" s="122" t="n">
        <v>0.04503975316938186</v>
      </c>
    </row>
    <row r="56">
      <c r="A56" s="64" t="inlineStr">
        <is>
          <t xml:space="preserve">    Staff Welfare &amp; Events</t>
        </is>
      </c>
      <c r="B56" s="68" t="n">
        <v>-7197</v>
      </c>
      <c r="C56" s="69" t="n">
        <v>0.008206357052152944</v>
      </c>
    </row>
    <row r="57">
      <c r="A57" s="96" t="inlineStr">
        <is>
          <t>TOTAL OPERATING EXPENSES</t>
        </is>
      </c>
      <c r="B57" s="71" t="n">
        <v>-667754.99</v>
      </c>
      <c r="C57" s="74" t="n">
        <v>0.7614055677777989</v>
      </c>
    </row>
    <row r="58">
      <c r="A58" s="102" t="n"/>
      <c r="B58" s="65" t="n"/>
      <c r="C58" s="103" t="n"/>
    </row>
    <row r="59">
      <c r="A59" s="112" t="inlineStr">
        <is>
          <t>EBITDA</t>
        </is>
      </c>
      <c r="B59" s="71" t="n">
        <v>-593399.9</v>
      </c>
      <c r="C59" s="113" t="n">
        <v>-0.676622405740149</v>
      </c>
    </row>
    <row r="60">
      <c r="A60" s="64" t="n"/>
      <c r="B60" s="65" t="n"/>
      <c r="C60" s="65" t="n"/>
    </row>
    <row r="61">
      <c r="A61" s="54" t="inlineStr">
        <is>
          <t>J. NON-OPERATING (I+D+A+Tax)</t>
        </is>
      </c>
      <c r="B61" s="67" t="n"/>
      <c r="C61" s="67" t="n"/>
    </row>
    <row r="62">
      <c r="A62" s="134" t="inlineStr">
        <is>
          <t xml:space="preserve">    Less: Interest Expense</t>
        </is>
      </c>
      <c r="B62" s="135" t="n">
        <v>-22835</v>
      </c>
      <c r="C62" s="136" t="n">
        <v>0.02603753831956544</v>
      </c>
    </row>
    <row r="63">
      <c r="A63" s="70" t="inlineStr">
        <is>
          <t>TOTAL NON-OPERATING</t>
        </is>
      </c>
      <c r="B63" s="71" t="n">
        <v>-22835</v>
      </c>
      <c r="C63" s="74" t="n">
        <v>0.02603753831956544</v>
      </c>
    </row>
    <row r="64">
      <c r="B64" s="62" t="n"/>
      <c r="C64" s="62" t="n"/>
    </row>
    <row r="65">
      <c r="B65" s="62" t="n"/>
      <c r="C65" s="62" t="n"/>
    </row>
    <row r="66">
      <c r="A66" s="70" t="inlineStr">
        <is>
          <t>NET INCOME</t>
        </is>
      </c>
      <c r="B66" s="71" t="n">
        <v>-616234.9</v>
      </c>
      <c r="C66" s="74" t="n">
        <v>-0.7026599440597143</v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0" customWidth="1" style="2" min="1" max="1"/>
    <col width="17" customWidth="1" style="2" min="2" max="2"/>
    <col width="13" customWidth="1" style="2" min="3" max="3"/>
  </cols>
  <sheetData>
    <row r="1" ht="24" customHeight="1" s="2">
      <c r="A1" s="61" t="inlineStr">
        <is>
          <t>Mar 2024 - PROFIT &amp; LOSS STATEMENT</t>
        </is>
      </c>
    </row>
    <row r="2">
      <c r="A2" s="63" t="inlineStr">
        <is>
          <t>Heatronics Pvt Ltd</t>
        </is>
      </c>
    </row>
    <row r="3">
      <c r="A3" s="81" t="inlineStr">
        <is>
          <t>Generated: 24 Jan 2026</t>
        </is>
      </c>
      <c r="B3" s="51" t="n"/>
      <c r="C3" s="51" t="n"/>
    </row>
    <row r="4">
      <c r="A4" s="64" t="n"/>
      <c r="B4" s="65" t="n"/>
      <c r="C4" s="65" t="n"/>
    </row>
    <row r="5">
      <c r="A5" s="83" t="inlineStr">
        <is>
          <t>Revenue Formula: Net Revenue = Gross Revenue - Returns - Discounts - Taxes (GST)</t>
        </is>
      </c>
      <c r="B5" s="65" t="n"/>
      <c r="C5" s="65" t="n"/>
    </row>
    <row r="6">
      <c r="A6" s="64" t="n"/>
      <c r="B6" s="65" t="n"/>
      <c r="C6" s="65" t="n"/>
    </row>
    <row r="7">
      <c r="A7" s="84" t="inlineStr">
        <is>
          <t>Particulars</t>
        </is>
      </c>
      <c r="B7" s="85" t="inlineStr">
        <is>
          <t>Amount (₹)</t>
        </is>
      </c>
      <c r="C7" s="85" t="inlineStr">
        <is>
          <t>% of Revenue</t>
        </is>
      </c>
    </row>
    <row r="8">
      <c r="A8" s="86" t="inlineStr">
        <is>
          <t>A. GROSS REVENUE (from Sales Register, by channel)</t>
        </is>
      </c>
      <c r="B8" s="67" t="n"/>
      <c r="C8" s="67" t="n"/>
    </row>
    <row r="9">
      <c r="A9" s="87" t="inlineStr">
        <is>
          <t xml:space="preserve">    Amazon</t>
        </is>
      </c>
      <c r="B9" s="88" t="n">
        <v>639299</v>
      </c>
      <c r="C9" s="89" t="n">
        <v>0.4057126512203777</v>
      </c>
    </row>
    <row r="10">
      <c r="A10" s="87" t="inlineStr">
        <is>
          <t xml:space="preserve">    OEM</t>
        </is>
      </c>
      <c r="B10" s="88" t="n">
        <v>999081</v>
      </c>
      <c r="C10" s="89" t="n">
        <v>0.6340379091691152</v>
      </c>
    </row>
    <row r="11">
      <c r="A11" s="90" t="inlineStr">
        <is>
          <t xml:space="preserve">    Offline</t>
        </is>
      </c>
      <c r="B11" s="91" t="n">
        <v>55424</v>
      </c>
      <c r="C11" s="92" t="n">
        <v>0.03517324128653136</v>
      </c>
    </row>
    <row r="12">
      <c r="A12" s="70" t="inlineStr">
        <is>
          <t>TOTAL GROSS REVENUE</t>
        </is>
      </c>
      <c r="B12" s="71" t="n">
        <v>1693804</v>
      </c>
      <c r="C12" s="72" t="n"/>
    </row>
    <row r="13">
      <c r="A13" s="93" t="inlineStr"/>
      <c r="B13" s="65" t="n"/>
      <c r="C13" s="65" t="n"/>
    </row>
    <row r="14">
      <c r="A14" s="94" t="inlineStr">
        <is>
          <t>B. RETURNS</t>
        </is>
      </c>
      <c r="B14" s="67" t="n"/>
      <c r="C14" s="95" t="n"/>
    </row>
    <row r="15">
      <c r="A15" s="90" t="inlineStr">
        <is>
          <t xml:space="preserve">    OEM Returns</t>
        </is>
      </c>
      <c r="B15" s="73" t="n">
        <v>-21949</v>
      </c>
      <c r="C15" s="92" t="n">
        <v>-0.0139292990942205</v>
      </c>
    </row>
    <row r="16">
      <c r="A16" s="64" t="inlineStr">
        <is>
          <t xml:space="preserve">    Offline Returns</t>
        </is>
      </c>
      <c r="B16" s="73" t="n">
        <v>-18480</v>
      </c>
      <c r="C16" s="69" t="n">
        <v>-0.01172779840818237</v>
      </c>
    </row>
    <row r="17">
      <c r="A17" s="96" t="inlineStr">
        <is>
          <t>TOTAL RETURNS</t>
        </is>
      </c>
      <c r="B17" s="71" t="n">
        <v>-40429</v>
      </c>
      <c r="C17" s="74" t="n">
        <v>-0.02565709750240287</v>
      </c>
    </row>
    <row r="18">
      <c r="A18" s="90" t="inlineStr"/>
      <c r="B18" s="65" t="n"/>
      <c r="C18" s="97" t="n"/>
    </row>
    <row r="19">
      <c r="A19" s="54" t="inlineStr">
        <is>
          <t>D. TAXES (GST Collected)</t>
        </is>
      </c>
      <c r="B19" s="67" t="n"/>
      <c r="C19" s="67" t="n"/>
    </row>
    <row r="20">
      <c r="A20" s="98" t="inlineStr">
        <is>
          <t>TOTAL TAXES</t>
        </is>
      </c>
      <c r="B20" s="99" t="n">
        <v>-77631.67999999999</v>
      </c>
      <c r="C20" s="100" t="n">
        <v>0.04926670417362137</v>
      </c>
    </row>
    <row r="21">
      <c r="A21" s="64" t="inlineStr"/>
      <c r="B21" s="65" t="n"/>
      <c r="C21" s="65" t="n"/>
    </row>
    <row r="22">
      <c r="A22" s="101" t="inlineStr">
        <is>
          <t>NET REVENUE (external)</t>
        </is>
      </c>
      <c r="B22" s="76" t="n">
        <v>1575743.32</v>
      </c>
      <c r="C22" s="77" t="n">
        <v>1</v>
      </c>
    </row>
    <row r="23">
      <c r="A23" s="102" t="inlineStr"/>
      <c r="B23" s="65" t="n"/>
      <c r="C23" s="103" t="n"/>
    </row>
    <row r="24">
      <c r="A24" s="102" t="inlineStr">
        <is>
          <t>Add: Inter-branch (Internal) Transactions</t>
        </is>
      </c>
      <c r="B24" s="68" t="n">
        <v>0</v>
      </c>
      <c r="C24" s="104" t="n">
        <v>0</v>
      </c>
    </row>
    <row r="25">
      <c r="A25" s="105" t="inlineStr">
        <is>
          <t>TURNOVER (Total — audited basis)</t>
        </is>
      </c>
      <c r="B25" s="71" t="n">
        <v>1575743.32</v>
      </c>
      <c r="C25" s="106" t="n">
        <v>1</v>
      </c>
    </row>
    <row r="26">
      <c r="A26" s="102" t="inlineStr"/>
      <c r="B26" s="65" t="n"/>
      <c r="C26" s="103" t="n"/>
    </row>
    <row r="27">
      <c r="A27" s="107" t="inlineStr">
        <is>
          <t>E. COST OF GOODS MANUFACTURED (COGM)</t>
        </is>
      </c>
      <c r="B27" s="67" t="n"/>
      <c r="C27" s="108" t="n"/>
    </row>
    <row r="28">
      <c r="A28" s="102" t="inlineStr">
        <is>
          <t xml:space="preserve">    Raw Materials &amp; Inventory</t>
        </is>
      </c>
      <c r="B28" s="68" t="n">
        <v>-884759.65</v>
      </c>
      <c r="C28" s="104" t="n">
        <v>0.5614871653081163</v>
      </c>
    </row>
    <row r="29">
      <c r="A29" s="90" t="inlineStr">
        <is>
          <t xml:space="preserve">    Consumables</t>
        </is>
      </c>
      <c r="B29" s="68" t="n">
        <v>-2425.2</v>
      </c>
      <c r="C29" s="92" t="n">
        <v>0.00153908315473614</v>
      </c>
    </row>
    <row r="30">
      <c r="A30" s="64" t="inlineStr">
        <is>
          <t xml:space="preserve">    Factory Maintenance</t>
        </is>
      </c>
      <c r="B30" s="68" t="n">
        <v>-27454</v>
      </c>
      <c r="C30" s="69" t="n">
        <v>0.01742288839276183</v>
      </c>
    </row>
    <row r="31">
      <c r="A31" s="109" t="inlineStr">
        <is>
          <t xml:space="preserve">    Inbound Transport</t>
        </is>
      </c>
      <c r="B31" s="110" t="n">
        <v>-5100</v>
      </c>
      <c r="C31" s="111" t="n">
        <v>0.003236567742517861</v>
      </c>
    </row>
    <row r="32">
      <c r="A32" s="64" t="inlineStr">
        <is>
          <t xml:space="preserve">    Job work</t>
        </is>
      </c>
      <c r="B32" s="68" t="n">
        <v>-290420</v>
      </c>
      <c r="C32" s="69" t="n">
        <v>0.1843066674082426</v>
      </c>
    </row>
    <row r="33">
      <c r="A33" s="93" t="inlineStr">
        <is>
          <t xml:space="preserve">    Manufacturing Wages</t>
        </is>
      </c>
      <c r="B33" s="68" t="n">
        <v>-145000</v>
      </c>
      <c r="C33" s="69" t="n">
        <v>0.09202006326766468</v>
      </c>
    </row>
    <row r="34">
      <c r="A34" s="105" t="inlineStr">
        <is>
          <t>TOTAL COGM</t>
        </is>
      </c>
      <c r="B34" s="71" t="n">
        <v>-470399.2</v>
      </c>
      <c r="C34" s="106" t="n">
        <v>0.2985252699659231</v>
      </c>
    </row>
    <row r="35">
      <c r="A35" s="90" t="n"/>
      <c r="B35" s="65" t="n"/>
      <c r="C35" s="97" t="n"/>
    </row>
    <row r="36">
      <c r="A36" s="70" t="inlineStr">
        <is>
          <t>GROSS MARGIN</t>
        </is>
      </c>
      <c r="B36" s="71" t="n">
        <v>220584.47</v>
      </c>
      <c r="C36" s="74" t="n">
        <v>0.1399875647259606</v>
      </c>
    </row>
    <row r="37">
      <c r="A37" s="129" t="n"/>
      <c r="B37" s="160" t="n"/>
      <c r="C37" s="160" t="n"/>
    </row>
    <row r="38">
      <c r="A38" s="54" t="inlineStr">
        <is>
          <t>F. CHANNEL &amp; FULFILLMENT</t>
        </is>
      </c>
      <c r="B38" s="67" t="n"/>
      <c r="C38" s="67" t="n"/>
    </row>
    <row r="39">
      <c r="A39" s="93" t="inlineStr">
        <is>
          <t xml:space="preserve">    D2C Fees</t>
        </is>
      </c>
      <c r="B39" s="68" t="n">
        <v>-865</v>
      </c>
      <c r="C39" s="69" t="n">
        <v>0.0005489472739760687</v>
      </c>
    </row>
    <row r="40">
      <c r="A40" s="105" t="inlineStr">
        <is>
          <t>TOTAL CHANNEL &amp; FULFILLMENT</t>
        </is>
      </c>
      <c r="B40" s="71" t="n">
        <v>-865</v>
      </c>
      <c r="C40" s="106" t="n">
        <v>0.0005489472739760687</v>
      </c>
    </row>
    <row r="41">
      <c r="A41" s="90" t="n"/>
      <c r="B41" s="65" t="n"/>
      <c r="C41" s="97" t="n"/>
    </row>
    <row r="42">
      <c r="A42" s="70" t="inlineStr">
        <is>
          <t>CM1 (Contribution Margin 1)</t>
        </is>
      </c>
      <c r="B42" s="71" t="n">
        <v>219719.47</v>
      </c>
      <c r="C42" s="74" t="n">
        <v>0.1394386174519845</v>
      </c>
    </row>
    <row r="43">
      <c r="A43" s="116" t="n"/>
      <c r="B43" s="117" t="n"/>
      <c r="C43" s="117" t="n"/>
    </row>
    <row r="44">
      <c r="A44" s="54" t="inlineStr">
        <is>
          <t>G. SALES &amp; MARKETING</t>
        </is>
      </c>
      <c r="B44" s="67" t="n"/>
      <c r="C44" s="67" t="n"/>
    </row>
    <row r="45">
      <c r="A45" s="64" t="inlineStr">
        <is>
          <t xml:space="preserve">    Advertising &amp; Marketing</t>
        </is>
      </c>
      <c r="B45" s="68" t="n">
        <v>-283513.35</v>
      </c>
      <c r="C45" s="69" t="n">
        <v>0.1799235614084659</v>
      </c>
    </row>
    <row r="46">
      <c r="A46" s="157" t="inlineStr">
        <is>
          <t>TOTAL SALES &amp; MARKETING</t>
        </is>
      </c>
      <c r="B46" s="158" t="n">
        <v>-283513.35</v>
      </c>
      <c r="C46" s="159" t="n">
        <v>0.1799235614084659</v>
      </c>
    </row>
    <row r="47">
      <c r="A47" s="64" t="n"/>
      <c r="B47" s="65" t="n"/>
      <c r="C47" s="65" t="n"/>
    </row>
    <row r="48">
      <c r="A48" s="96" t="inlineStr">
        <is>
          <t>CM2 (Contribution Margin 2)</t>
        </is>
      </c>
      <c r="B48" s="71" t="n">
        <v>-63793.88</v>
      </c>
      <c r="C48" s="74" t="n">
        <v>-0.04048494395648144</v>
      </c>
    </row>
    <row r="49">
      <c r="A49" s="102" t="n"/>
      <c r="B49" s="65" t="n"/>
      <c r="C49" s="103" t="n"/>
    </row>
    <row r="50">
      <c r="A50" s="102" t="n"/>
      <c r="B50" s="65" t="n"/>
      <c r="C50" s="103" t="n"/>
    </row>
    <row r="51">
      <c r="A51" s="105" t="inlineStr">
        <is>
          <t>CM3 (Contribution Margin 3)</t>
        </is>
      </c>
      <c r="B51" s="71" t="n">
        <v>-63793.88</v>
      </c>
      <c r="C51" s="106" t="n">
        <v>-0.04048494395648144</v>
      </c>
    </row>
    <row r="52">
      <c r="A52" s="102" t="n"/>
      <c r="B52" s="65" t="n"/>
      <c r="C52" s="103" t="n"/>
    </row>
    <row r="53">
      <c r="A53" s="107" t="inlineStr">
        <is>
          <t>I. OPERATING EXPENSES</t>
        </is>
      </c>
      <c r="B53" s="67" t="n"/>
      <c r="C53" s="108" t="n"/>
    </row>
    <row r="54">
      <c r="A54" s="102" t="inlineStr">
        <is>
          <t xml:space="preserve">    Legal &amp; CA expenses</t>
        </is>
      </c>
      <c r="B54" s="68" t="n">
        <v>-126412</v>
      </c>
      <c r="C54" s="104" t="n">
        <v>0.08022372577787605</v>
      </c>
    </row>
    <row r="55">
      <c r="A55" s="102" t="inlineStr">
        <is>
          <t xml:space="preserve">    Other Operating Expenses</t>
        </is>
      </c>
      <c r="B55" s="68" t="n">
        <v>-32786.99</v>
      </c>
      <c r="C55" s="104" t="n">
        <v>0.02080731651142268</v>
      </c>
    </row>
    <row r="56">
      <c r="A56" s="90" t="inlineStr">
        <is>
          <t xml:space="preserve">    Miscellaneous (Travel, insurance)</t>
        </is>
      </c>
      <c r="B56" s="68" t="n">
        <v>-15100</v>
      </c>
      <c r="C56" s="92" t="n">
        <v>0.009582779002356805</v>
      </c>
    </row>
    <row r="57">
      <c r="A57" s="64" t="inlineStr">
        <is>
          <t xml:space="preserve">    Salaries (Admin Mgmt)</t>
        </is>
      </c>
      <c r="B57" s="68" t="n">
        <v>-64827</v>
      </c>
      <c r="C57" s="69" t="n">
        <v>0.04114058373415792</v>
      </c>
    </row>
    <row r="58">
      <c r="A58" s="120" t="inlineStr">
        <is>
          <t xml:space="preserve">    Administrative Expenses</t>
        </is>
      </c>
      <c r="B58" s="121" t="n">
        <v>-157801.35</v>
      </c>
      <c r="C58" s="122" t="n">
        <v>0.1001440704187786</v>
      </c>
    </row>
    <row r="59">
      <c r="A59" s="64" t="inlineStr">
        <is>
          <t xml:space="preserve">    Salaries Director</t>
        </is>
      </c>
      <c r="B59" s="68" t="n">
        <v>-88000</v>
      </c>
      <c r="C59" s="69" t="n">
        <v>0.05584665908658271</v>
      </c>
    </row>
    <row r="60">
      <c r="A60" s="93" t="inlineStr">
        <is>
          <t xml:space="preserve">    Staff Welfare &amp; Events</t>
        </is>
      </c>
      <c r="B60" s="68" t="n">
        <v>-4871.27</v>
      </c>
      <c r="C60" s="69" t="n">
        <v>0.003091410852371565</v>
      </c>
    </row>
    <row r="61">
      <c r="A61" s="105" t="inlineStr">
        <is>
          <t>TOTAL OPERATING EXPENSES</t>
        </is>
      </c>
      <c r="B61" s="71" t="n">
        <v>-489798.61</v>
      </c>
      <c r="C61" s="106" t="n">
        <v>0.3108365453835463</v>
      </c>
    </row>
    <row r="62">
      <c r="A62" s="102" t="n"/>
      <c r="B62" s="65" t="n"/>
      <c r="C62" s="103" t="n"/>
    </row>
    <row r="63">
      <c r="A63" s="112" t="inlineStr">
        <is>
          <t>EBITDA</t>
        </is>
      </c>
      <c r="B63" s="71" t="n">
        <v>-553592.49</v>
      </c>
      <c r="C63" s="113" t="n">
        <v>-0.3513214893400278</v>
      </c>
    </row>
    <row r="64">
      <c r="A64" s="64" t="n"/>
      <c r="B64" s="65" t="n"/>
      <c r="C64" s="65" t="n"/>
    </row>
    <row r="65">
      <c r="A65" s="54" t="inlineStr">
        <is>
          <t>J. NON-OPERATING (I+D+A+Tax)</t>
        </is>
      </c>
      <c r="B65" s="67" t="n"/>
      <c r="C65" s="67" t="n"/>
    </row>
    <row r="66">
      <c r="A66" s="134" t="inlineStr">
        <is>
          <t xml:space="preserve">    Less: Depreciation</t>
        </is>
      </c>
      <c r="B66" s="135" t="n">
        <v>-1388002</v>
      </c>
      <c r="C66" s="136" t="n">
        <v>0.8808553921078973</v>
      </c>
    </row>
    <row r="67">
      <c r="A67" t="inlineStr">
        <is>
          <t xml:space="preserve">    Less: Interest Expense</t>
        </is>
      </c>
      <c r="B67" s="78" t="n">
        <v>-23264</v>
      </c>
      <c r="C67" s="79" t="n">
        <v>0.01476382587488932</v>
      </c>
    </row>
    <row r="68">
      <c r="A68" s="70" t="inlineStr">
        <is>
          <t>TOTAL NON-OPERATING</t>
        </is>
      </c>
      <c r="B68" s="71" t="n">
        <v>-1411266</v>
      </c>
      <c r="C68" s="74" t="n">
        <v>0.8956192179827867</v>
      </c>
    </row>
    <row r="69">
      <c r="B69" s="62" t="n"/>
      <c r="C69" s="62" t="n"/>
    </row>
    <row r="70">
      <c r="B70" s="62" t="n"/>
      <c r="C70" s="62" t="n"/>
    </row>
    <row r="71">
      <c r="A71" s="70" t="inlineStr">
        <is>
          <t>NET INCOME</t>
        </is>
      </c>
      <c r="B71" s="71" t="n">
        <v>-1964858.49</v>
      </c>
      <c r="C71" s="74" t="n">
        <v>-1.246940707322814</v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0" customWidth="1" style="2" min="1" max="1"/>
    <col width="17" customWidth="1" style="2" min="2" max="2"/>
    <col width="13" customWidth="1" style="2" min="3" max="3"/>
  </cols>
  <sheetData>
    <row r="1" ht="24" customHeight="1" s="2">
      <c r="A1" s="61" t="inlineStr">
        <is>
          <t>Feb 2024 - PROFIT &amp; LOSS STATEMENT</t>
        </is>
      </c>
    </row>
    <row r="2">
      <c r="A2" s="63" t="inlineStr">
        <is>
          <t>Heatronics Pvt Ltd</t>
        </is>
      </c>
    </row>
    <row r="3">
      <c r="A3" s="81" t="inlineStr">
        <is>
          <t>Generated: 24 Jan 2026</t>
        </is>
      </c>
      <c r="B3" s="51" t="n"/>
      <c r="C3" s="51" t="n"/>
    </row>
    <row r="4">
      <c r="A4" s="64" t="n"/>
      <c r="B4" s="65" t="n"/>
      <c r="C4" s="65" t="n"/>
    </row>
    <row r="5">
      <c r="A5" s="83" t="inlineStr">
        <is>
          <t>Revenue Formula: Net Revenue = Gross Revenue - Returns - Discounts - Taxes (GST)</t>
        </is>
      </c>
      <c r="B5" s="65" t="n"/>
      <c r="C5" s="65" t="n"/>
    </row>
    <row r="6">
      <c r="A6" s="64" t="n"/>
      <c r="B6" s="65" t="n"/>
      <c r="C6" s="65" t="n"/>
    </row>
    <row r="7">
      <c r="A7" s="84" t="inlineStr">
        <is>
          <t>Particulars</t>
        </is>
      </c>
      <c r="B7" s="85" t="inlineStr">
        <is>
          <t>Amount (₹)</t>
        </is>
      </c>
      <c r="C7" s="85" t="inlineStr">
        <is>
          <t>% of Revenue</t>
        </is>
      </c>
    </row>
    <row r="8">
      <c r="A8" s="86" t="inlineStr">
        <is>
          <t>A. GROSS REVENUE (from Sales Register, by channel)</t>
        </is>
      </c>
      <c r="B8" s="67" t="n"/>
      <c r="C8" s="67" t="n"/>
    </row>
    <row r="9">
      <c r="A9" s="87" t="inlineStr">
        <is>
          <t xml:space="preserve">    Amazon</t>
        </is>
      </c>
      <c r="B9" s="88" t="n">
        <v>278944.4</v>
      </c>
      <c r="C9" s="89" t="n">
        <v>0.09038143705378089</v>
      </c>
    </row>
    <row r="10">
      <c r="A10" s="87" t="inlineStr">
        <is>
          <t xml:space="preserve">    OEM</t>
        </is>
      </c>
      <c r="B10" s="88" t="n">
        <v>2943969</v>
      </c>
      <c r="C10" s="89" t="n">
        <v>0.9538823825170258</v>
      </c>
    </row>
    <row r="11">
      <c r="A11" s="90" t="inlineStr">
        <is>
          <t xml:space="preserve">    Offline</t>
        </is>
      </c>
      <c r="B11" s="91" t="n">
        <v>44206.2</v>
      </c>
      <c r="C11" s="92" t="n">
        <v>0.01432335577515393</v>
      </c>
    </row>
    <row r="12">
      <c r="A12" s="70" t="inlineStr">
        <is>
          <t>TOTAL GROSS REVENUE</t>
        </is>
      </c>
      <c r="B12" s="71" t="n">
        <v>3267119.6</v>
      </c>
      <c r="C12" s="72" t="n"/>
    </row>
    <row r="13">
      <c r="A13" s="93" t="inlineStr"/>
      <c r="B13" s="65" t="n"/>
      <c r="C13" s="65" t="n"/>
    </row>
    <row r="14">
      <c r="A14" s="94" t="inlineStr">
        <is>
          <t>B. RETURNS</t>
        </is>
      </c>
      <c r="B14" s="67" t="n"/>
      <c r="C14" s="95" t="n"/>
    </row>
    <row r="15">
      <c r="A15" s="90" t="inlineStr">
        <is>
          <t xml:space="preserve">    Amazon Returns</t>
        </is>
      </c>
      <c r="B15" s="73" t="n">
        <v>-13533</v>
      </c>
      <c r="C15" s="92" t="n">
        <v>-0.004384859447434029</v>
      </c>
    </row>
    <row r="16">
      <c r="A16" s="70" t="inlineStr">
        <is>
          <t>TOTAL RETURNS</t>
        </is>
      </c>
      <c r="B16" s="71" t="n">
        <v>-13533</v>
      </c>
      <c r="C16" s="74" t="n">
        <v>-0.004384859447434029</v>
      </c>
    </row>
    <row r="17">
      <c r="A17" s="93" t="inlineStr"/>
      <c r="B17" s="65" t="n"/>
      <c r="C17" s="65" t="n"/>
    </row>
    <row r="18">
      <c r="A18" s="125" t="inlineStr">
        <is>
          <t>D. TAXES (GST Collected)</t>
        </is>
      </c>
      <c r="B18" s="67" t="n"/>
      <c r="C18" s="126" t="n"/>
    </row>
    <row r="19">
      <c r="A19" s="70" t="inlineStr">
        <is>
          <t>TOTAL TAXES</t>
        </is>
      </c>
      <c r="B19" s="71" t="n">
        <v>-167284.71</v>
      </c>
      <c r="C19" s="74" t="n">
        <v>0.05420231589852669</v>
      </c>
    </row>
    <row r="20">
      <c r="A20" s="127" t="inlineStr"/>
      <c r="B20" s="128" t="n"/>
      <c r="C20" s="128" t="n"/>
    </row>
    <row r="21">
      <c r="A21" s="75" t="inlineStr">
        <is>
          <t>NET REVENUE (external)</t>
        </is>
      </c>
      <c r="B21" s="76" t="n">
        <v>3086301.89</v>
      </c>
      <c r="C21" s="77" t="n">
        <v>1</v>
      </c>
    </row>
    <row r="22">
      <c r="A22" s="93" t="inlineStr"/>
      <c r="B22" s="65" t="n"/>
      <c r="C22" s="65" t="n"/>
    </row>
    <row r="23">
      <c r="A23" s="102" t="inlineStr">
        <is>
          <t>Add: Inter-branch (Internal) Transactions</t>
        </is>
      </c>
      <c r="B23" s="68" t="n">
        <v>0</v>
      </c>
      <c r="C23" s="104" t="n">
        <v>0</v>
      </c>
    </row>
    <row r="24">
      <c r="A24" s="105" t="inlineStr">
        <is>
          <t>TURNOVER (Total — audited basis)</t>
        </is>
      </c>
      <c r="B24" s="71" t="n">
        <v>3086301.89</v>
      </c>
      <c r="C24" s="106" t="n">
        <v>1</v>
      </c>
    </row>
    <row r="25">
      <c r="A25" s="102" t="inlineStr"/>
      <c r="B25" s="65" t="n"/>
      <c r="C25" s="103" t="n"/>
    </row>
    <row r="26">
      <c r="A26" s="107" t="inlineStr">
        <is>
          <t>E. COST OF GOODS MANUFACTURED (COGM)</t>
        </is>
      </c>
      <c r="B26" s="67" t="n"/>
      <c r="C26" s="108" t="n"/>
    </row>
    <row r="27">
      <c r="A27" s="102" t="inlineStr">
        <is>
          <t xml:space="preserve">    Raw Materials &amp; Inventory</t>
        </is>
      </c>
      <c r="B27" s="68" t="n">
        <v>-1732918.89</v>
      </c>
      <c r="C27" s="104" t="n">
        <v>0.5614871622296158</v>
      </c>
    </row>
    <row r="28">
      <c r="A28" s="102" t="inlineStr">
        <is>
          <t xml:space="preserve">    Consumables</t>
        </is>
      </c>
      <c r="B28" s="68" t="n">
        <v>-7465</v>
      </c>
      <c r="C28" s="104" t="n">
        <v>0.002418752366444619</v>
      </c>
    </row>
    <row r="29">
      <c r="A29" s="90" t="inlineStr">
        <is>
          <t xml:space="preserve">    Factory Maintenance</t>
        </is>
      </c>
      <c r="B29" s="68" t="n">
        <v>-31905</v>
      </c>
      <c r="C29" s="92" t="n">
        <v>0.01033761476911126</v>
      </c>
    </row>
    <row r="30">
      <c r="A30" s="64" t="inlineStr">
        <is>
          <t xml:space="preserve">    Inbound Transport</t>
        </is>
      </c>
      <c r="B30" s="68" t="n">
        <v>-1200</v>
      </c>
      <c r="C30" s="69" t="n">
        <v>0.0003888148479214391</v>
      </c>
    </row>
    <row r="31">
      <c r="A31" s="109" t="inlineStr">
        <is>
          <t xml:space="preserve">    Job work</t>
        </is>
      </c>
      <c r="B31" s="110" t="n">
        <v>-187128.26</v>
      </c>
      <c r="C31" s="111" t="n">
        <v>0.06063187162808626</v>
      </c>
    </row>
    <row r="32">
      <c r="A32" s="64" t="inlineStr">
        <is>
          <t xml:space="preserve">    Manufacturing Wages</t>
        </is>
      </c>
      <c r="B32" s="68" t="n">
        <v>-120780</v>
      </c>
      <c r="C32" s="69" t="n">
        <v>0.03913421444329284</v>
      </c>
    </row>
    <row r="33">
      <c r="A33" s="96" t="inlineStr">
        <is>
          <t>TOTAL COGM</t>
        </is>
      </c>
      <c r="B33" s="71" t="n">
        <v>-348478.26</v>
      </c>
      <c r="C33" s="74" t="n">
        <v>0.1129112680548564</v>
      </c>
    </row>
    <row r="34">
      <c r="A34" s="102" t="n"/>
      <c r="B34" s="65" t="n"/>
      <c r="C34" s="103" t="n"/>
    </row>
    <row r="35">
      <c r="A35" s="112" t="inlineStr">
        <is>
          <t>GROSS MARGIN</t>
        </is>
      </c>
      <c r="B35" s="71" t="n">
        <v>1004904.74</v>
      </c>
      <c r="C35" s="113" t="n">
        <v>0.3256015697155277</v>
      </c>
    </row>
    <row r="36">
      <c r="A36" s="64" t="n"/>
      <c r="B36" s="65" t="n"/>
      <c r="C36" s="65" t="n"/>
    </row>
    <row r="37">
      <c r="A37" s="114" t="inlineStr">
        <is>
          <t>F. CHANNEL &amp; FULFILLMENT</t>
        </is>
      </c>
      <c r="B37" s="115" t="n"/>
      <c r="C37" s="115" t="n"/>
    </row>
    <row r="38">
      <c r="A38" s="64" t="inlineStr">
        <is>
          <t xml:space="preserve">    D2C Fees</t>
        </is>
      </c>
      <c r="B38" s="68" t="n">
        <v>-19954</v>
      </c>
      <c r="C38" s="69" t="n">
        <v>0.006465342896186996</v>
      </c>
    </row>
    <row r="39">
      <c r="A39" s="96" t="inlineStr">
        <is>
          <t>TOTAL CHANNEL &amp; FULFILLMENT</t>
        </is>
      </c>
      <c r="B39" s="71" t="n">
        <v>-19954</v>
      </c>
      <c r="C39" s="74" t="n">
        <v>0.006465342896186996</v>
      </c>
    </row>
    <row r="40">
      <c r="A40" s="102" t="n"/>
      <c r="B40" s="65" t="n"/>
      <c r="C40" s="103" t="n"/>
    </row>
    <row r="41">
      <c r="A41" s="112" t="inlineStr">
        <is>
          <t>CM1 (Contribution Margin 1)</t>
        </is>
      </c>
      <c r="B41" s="71" t="n">
        <v>984950.74</v>
      </c>
      <c r="C41" s="113" t="n">
        <v>0.3191362268193407</v>
      </c>
    </row>
    <row r="42">
      <c r="A42" s="64" t="n"/>
      <c r="B42" s="65" t="n"/>
      <c r="C42" s="65" t="n"/>
    </row>
    <row r="43">
      <c r="A43" s="132" t="inlineStr">
        <is>
          <t>G. SALES &amp; MARKETING</t>
        </is>
      </c>
      <c r="B43" s="133" t="n"/>
      <c r="C43" s="133" t="n"/>
    </row>
    <row r="44">
      <c r="A44" s="64" t="inlineStr">
        <is>
          <t xml:space="preserve">    Advertising &amp; Marketing</t>
        </is>
      </c>
      <c r="B44" s="68" t="n">
        <v>-184630.58</v>
      </c>
      <c r="C44" s="69" t="n">
        <v>0.05982259240362257</v>
      </c>
    </row>
    <row r="45">
      <c r="A45" s="70" t="inlineStr">
        <is>
          <t>TOTAL SALES &amp; MARKETING</t>
        </is>
      </c>
      <c r="B45" s="71" t="n">
        <v>-184630.58</v>
      </c>
      <c r="C45" s="74" t="n">
        <v>0.05982259240362257</v>
      </c>
    </row>
    <row r="46">
      <c r="A46" s="140" t="n"/>
      <c r="B46" s="141" t="n"/>
      <c r="C46" s="141" t="n"/>
    </row>
    <row r="47">
      <c r="A47" s="70" t="inlineStr">
        <is>
          <t>CM2 (Contribution Margin 2)</t>
        </is>
      </c>
      <c r="B47" s="71" t="n">
        <v>800320.16</v>
      </c>
      <c r="C47" s="74" t="n">
        <v>0.2593136344157181</v>
      </c>
    </row>
    <row r="48">
      <c r="A48" s="93" t="n"/>
      <c r="B48" s="65" t="n"/>
      <c r="C48" s="65" t="n"/>
    </row>
    <row r="49">
      <c r="A49" s="102" t="n"/>
      <c r="B49" s="65" t="n"/>
      <c r="C49" s="103" t="n"/>
    </row>
    <row r="50">
      <c r="A50" s="105" t="inlineStr">
        <is>
          <t>CM3 (Contribution Margin 3)</t>
        </is>
      </c>
      <c r="B50" s="71" t="n">
        <v>800320.16</v>
      </c>
      <c r="C50" s="106" t="n">
        <v>0.2593136344157181</v>
      </c>
    </row>
    <row r="51">
      <c r="A51" s="102" t="n"/>
      <c r="B51" s="65" t="n"/>
      <c r="C51" s="103" t="n"/>
    </row>
    <row r="52">
      <c r="A52" s="107" t="inlineStr">
        <is>
          <t>I. OPERATING EXPENSES</t>
        </is>
      </c>
      <c r="B52" s="67" t="n"/>
      <c r="C52" s="108" t="n"/>
    </row>
    <row r="53">
      <c r="A53" s="102" t="inlineStr">
        <is>
          <t xml:space="preserve">    Legal &amp; CA expenses</t>
        </is>
      </c>
      <c r="B53" s="68" t="n">
        <v>-8500</v>
      </c>
      <c r="C53" s="104" t="n">
        <v>0.00275410517277686</v>
      </c>
    </row>
    <row r="54">
      <c r="A54" s="102" t="inlineStr">
        <is>
          <t xml:space="preserve">    Banks &amp; Finance Charges</t>
        </is>
      </c>
      <c r="B54" s="68" t="n">
        <v>-525.8</v>
      </c>
      <c r="C54" s="104" t="n">
        <v>0.0001703657058642439</v>
      </c>
    </row>
    <row r="55">
      <c r="A55" s="102" t="inlineStr">
        <is>
          <t xml:space="preserve">    Other Operating Expenses</t>
        </is>
      </c>
      <c r="B55" s="68" t="n">
        <v>-39953.87</v>
      </c>
      <c r="C55" s="104" t="n">
        <v>0.01294554823993579</v>
      </c>
    </row>
    <row r="56">
      <c r="A56" s="102" t="inlineStr">
        <is>
          <t xml:space="preserve">    Miscellaneous (Travel, insurance)</t>
        </is>
      </c>
      <c r="B56" s="68" t="n">
        <v>-36030</v>
      </c>
      <c r="C56" s="104" t="n">
        <v>0.01167416580884121</v>
      </c>
    </row>
    <row r="57">
      <c r="A57" s="90" t="inlineStr">
        <is>
          <t xml:space="preserve">    Salaries (Admin Mgmt)</t>
        </is>
      </c>
      <c r="B57" s="68" t="n">
        <v>-322636</v>
      </c>
      <c r="C57" s="92" t="n">
        <v>0.1045380560616512</v>
      </c>
    </row>
    <row r="58">
      <c r="A58" s="64" t="inlineStr">
        <is>
          <t xml:space="preserve">    Administrative Expenses</t>
        </is>
      </c>
      <c r="B58" s="68" t="n">
        <v>-152581.66</v>
      </c>
      <c r="C58" s="69" t="n">
        <v>0.0494383457737506</v>
      </c>
    </row>
    <row r="59">
      <c r="A59" s="120" t="inlineStr">
        <is>
          <t xml:space="preserve">    Salaries Director</t>
        </is>
      </c>
      <c r="B59" s="121" t="n">
        <v>-88000</v>
      </c>
      <c r="C59" s="122" t="n">
        <v>0.0285130888475722</v>
      </c>
    </row>
    <row r="60">
      <c r="A60" s="64" t="inlineStr">
        <is>
          <t xml:space="preserve">    Staff Welfare &amp; Events</t>
        </is>
      </c>
      <c r="B60" s="68" t="n">
        <v>-16214</v>
      </c>
      <c r="C60" s="69" t="n">
        <v>0.005253536620165178</v>
      </c>
    </row>
    <row r="61">
      <c r="A61" s="96" t="inlineStr">
        <is>
          <t>TOTAL OPERATING EXPENSES</t>
        </is>
      </c>
      <c r="B61" s="71" t="n">
        <v>-664441.33</v>
      </c>
      <c r="C61" s="74" t="n">
        <v>0.2152872122305572</v>
      </c>
    </row>
    <row r="62">
      <c r="A62" s="102" t="n"/>
      <c r="B62" s="65" t="n"/>
      <c r="C62" s="103" t="n"/>
    </row>
    <row r="63">
      <c r="A63" s="112" t="inlineStr">
        <is>
          <t>EBITDA</t>
        </is>
      </c>
      <c r="B63" s="71" t="n">
        <v>135878.83</v>
      </c>
      <c r="C63" s="113" t="n">
        <v>0.04402642218516089</v>
      </c>
    </row>
    <row r="64">
      <c r="A64" s="64" t="n"/>
      <c r="B64" s="65" t="n"/>
      <c r="C64" s="65" t="n"/>
    </row>
    <row r="65">
      <c r="A65" s="54" t="inlineStr">
        <is>
          <t>J. NON-OPERATING (I+D+A+Tax)</t>
        </is>
      </c>
      <c r="B65" s="67" t="n"/>
      <c r="C65" s="67" t="n"/>
    </row>
    <row r="66">
      <c r="A66" s="137" t="inlineStr">
        <is>
          <t xml:space="preserve">    Less: Interest Expense</t>
        </is>
      </c>
      <c r="B66" s="138" t="n">
        <v>-23493</v>
      </c>
      <c r="C66" s="139" t="n">
        <v>0.007612022685181973</v>
      </c>
    </row>
    <row r="67">
      <c r="A67" s="70" t="inlineStr">
        <is>
          <t>TOTAL NON-OPERATING</t>
        </is>
      </c>
      <c r="B67" s="71" t="n">
        <v>-23493</v>
      </c>
      <c r="C67" s="74" t="n">
        <v>0.007612022685181973</v>
      </c>
    </row>
    <row r="68">
      <c r="B68" s="62" t="n"/>
      <c r="C68" s="62" t="n"/>
    </row>
    <row r="69">
      <c r="B69" s="62" t="n"/>
      <c r="C69" s="62" t="n"/>
    </row>
    <row r="70">
      <c r="A70" s="70" t="inlineStr">
        <is>
          <t>NET INCOME</t>
        </is>
      </c>
      <c r="B70" s="71" t="n">
        <v>112385.83</v>
      </c>
      <c r="C70" s="74" t="n">
        <v>0.03641439949997892</v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0" customWidth="1" style="2" min="1" max="1"/>
    <col width="17" customWidth="1" style="2" min="2" max="2"/>
    <col width="13" customWidth="1" style="2" min="3" max="3"/>
  </cols>
  <sheetData>
    <row r="1" ht="24" customHeight="1" s="2">
      <c r="A1" s="61" t="inlineStr">
        <is>
          <t>Jan 2024 - PROFIT &amp; LOSS STATEMENT</t>
        </is>
      </c>
    </row>
    <row r="2">
      <c r="A2" s="63" t="inlineStr">
        <is>
          <t>Heatronics Pvt Ltd</t>
        </is>
      </c>
    </row>
    <row r="3">
      <c r="A3" s="81" t="inlineStr">
        <is>
          <t>Generated: 24 Jan 2026</t>
        </is>
      </c>
      <c r="B3" s="51" t="n"/>
      <c r="C3" s="51" t="n"/>
    </row>
    <row r="4">
      <c r="A4" s="64" t="n"/>
      <c r="B4" s="65" t="n"/>
      <c r="C4" s="65" t="n"/>
    </row>
    <row r="5">
      <c r="A5" s="83" t="inlineStr">
        <is>
          <t>Revenue Formula: Net Revenue = Gross Revenue - Returns - Discounts - Taxes (GST)</t>
        </is>
      </c>
      <c r="B5" s="65" t="n"/>
      <c r="C5" s="65" t="n"/>
    </row>
    <row r="6">
      <c r="A6" s="64" t="n"/>
      <c r="B6" s="65" t="n"/>
      <c r="C6" s="65" t="n"/>
    </row>
    <row r="7">
      <c r="A7" s="84" t="inlineStr">
        <is>
          <t>Particulars</t>
        </is>
      </c>
      <c r="B7" s="85" t="inlineStr">
        <is>
          <t>Amount (₹)</t>
        </is>
      </c>
      <c r="C7" s="85" t="inlineStr">
        <is>
          <t>% of Revenue</t>
        </is>
      </c>
    </row>
    <row r="8">
      <c r="A8" s="86" t="inlineStr">
        <is>
          <t>A. GROSS REVENUE (from Sales Register, by channel)</t>
        </is>
      </c>
      <c r="B8" s="67" t="n"/>
      <c r="C8" s="67" t="n"/>
    </row>
    <row r="9">
      <c r="A9" s="87" t="inlineStr">
        <is>
          <t xml:space="preserve">    Amazon</t>
        </is>
      </c>
      <c r="B9" s="88" t="n">
        <v>73008.5</v>
      </c>
      <c r="C9" s="89" t="n">
        <v>0.0180539670944568</v>
      </c>
    </row>
    <row r="10">
      <c r="A10" s="87" t="inlineStr">
        <is>
          <t xml:space="preserve">    OEM</t>
        </is>
      </c>
      <c r="B10" s="88" t="n">
        <v>3852932.5</v>
      </c>
      <c r="C10" s="89" t="n">
        <v>0.9527755887624478</v>
      </c>
    </row>
    <row r="11">
      <c r="A11" s="90" t="inlineStr">
        <is>
          <t xml:space="preserve">    Offline</t>
        </is>
      </c>
      <c r="B11" s="91" t="n">
        <v>440590</v>
      </c>
      <c r="C11" s="92" t="n">
        <v>0.1089516612743273</v>
      </c>
    </row>
    <row r="12">
      <c r="A12" s="70" t="inlineStr">
        <is>
          <t>TOTAL GROSS REVENUE</t>
        </is>
      </c>
      <c r="B12" s="71" t="n">
        <v>4366531</v>
      </c>
      <c r="C12" s="72" t="n"/>
    </row>
    <row r="13">
      <c r="A13" s="93" t="inlineStr"/>
      <c r="B13" s="65" t="n"/>
      <c r="C13" s="65" t="n"/>
    </row>
    <row r="14">
      <c r="A14" s="94" t="inlineStr">
        <is>
          <t>B. RETURNS</t>
        </is>
      </c>
      <c r="B14" s="67" t="n"/>
      <c r="C14" s="95" t="n"/>
    </row>
    <row r="15">
      <c r="A15" s="90" t="inlineStr">
        <is>
          <t xml:space="preserve">    OEM Returns</t>
        </is>
      </c>
      <c r="B15" s="73" t="n">
        <v>-108782</v>
      </c>
      <c r="C15" s="92" t="n">
        <v>-0.02690024652566755</v>
      </c>
    </row>
    <row r="16">
      <c r="A16" s="70" t="inlineStr">
        <is>
          <t>TOTAL RETURNS</t>
        </is>
      </c>
      <c r="B16" s="71" t="n">
        <v>-108782</v>
      </c>
      <c r="C16" s="74" t="n">
        <v>-0.02690024652566755</v>
      </c>
    </row>
    <row r="17">
      <c r="A17" s="93" t="inlineStr"/>
      <c r="B17" s="65" t="n"/>
      <c r="C17" s="65" t="n"/>
    </row>
    <row r="18">
      <c r="A18" s="125" t="inlineStr">
        <is>
          <t>D. TAXES (GST Collected)</t>
        </is>
      </c>
      <c r="B18" s="67" t="n"/>
      <c r="C18" s="126" t="n"/>
    </row>
    <row r="19">
      <c r="A19" s="70" t="inlineStr">
        <is>
          <t>TOTAL TAXES</t>
        </is>
      </c>
      <c r="B19" s="71" t="n">
        <v>-213845.54</v>
      </c>
      <c r="C19" s="74" t="n">
        <v>0.05288097060556436</v>
      </c>
    </row>
    <row r="20">
      <c r="A20" s="127" t="inlineStr"/>
      <c r="B20" s="128" t="n"/>
      <c r="C20" s="128" t="n"/>
    </row>
    <row r="21">
      <c r="A21" s="75" t="inlineStr">
        <is>
          <t>NET REVENUE (external)</t>
        </is>
      </c>
      <c r="B21" s="76" t="n">
        <v>4043903.46</v>
      </c>
      <c r="C21" s="77" t="n">
        <v>1</v>
      </c>
    </row>
    <row r="22">
      <c r="A22" s="93" t="inlineStr"/>
      <c r="B22" s="65" t="n"/>
      <c r="C22" s="65" t="n"/>
    </row>
    <row r="23">
      <c r="A23" s="102" t="inlineStr">
        <is>
          <t>Add: Inter-branch (Internal) Transactions</t>
        </is>
      </c>
      <c r="B23" s="68" t="n">
        <v>0</v>
      </c>
      <c r="C23" s="104" t="n">
        <v>0</v>
      </c>
    </row>
    <row r="24">
      <c r="A24" s="105" t="inlineStr">
        <is>
          <t>TURNOVER (Total — audited basis)</t>
        </is>
      </c>
      <c r="B24" s="71" t="n">
        <v>4043903.46</v>
      </c>
      <c r="C24" s="106" t="n">
        <v>1</v>
      </c>
    </row>
    <row r="25">
      <c r="A25" s="102" t="inlineStr"/>
      <c r="B25" s="65" t="n"/>
      <c r="C25" s="103" t="n"/>
    </row>
    <row r="26">
      <c r="A26" s="107" t="inlineStr">
        <is>
          <t>E. COST OF GOODS MANUFACTURED (COGM)</t>
        </is>
      </c>
      <c r="B26" s="67" t="n"/>
      <c r="C26" s="108" t="n"/>
    </row>
    <row r="27">
      <c r="A27" s="102" t="inlineStr">
        <is>
          <t xml:space="preserve">    Raw Materials &amp; Inventory</t>
        </is>
      </c>
      <c r="B27" s="68" t="n">
        <v>-2270599.88</v>
      </c>
      <c r="C27" s="104" t="n">
        <v>0.5614871627029395</v>
      </c>
    </row>
    <row r="28">
      <c r="A28" s="102" t="inlineStr">
        <is>
          <t xml:space="preserve">    Consumables</t>
        </is>
      </c>
      <c r="B28" s="68" t="n">
        <v>-5660</v>
      </c>
      <c r="C28" s="104" t="n">
        <v>0.001399637764844169</v>
      </c>
    </row>
    <row r="29">
      <c r="A29" s="90" t="inlineStr">
        <is>
          <t xml:space="preserve">    Factory Maintenance</t>
        </is>
      </c>
      <c r="B29" s="68" t="n">
        <v>-32419</v>
      </c>
      <c r="C29" s="92" t="n">
        <v>0.008016759134007616</v>
      </c>
    </row>
    <row r="30">
      <c r="A30" s="64" t="inlineStr">
        <is>
          <t xml:space="preserve">    Inbound Transport</t>
        </is>
      </c>
      <c r="B30" s="68" t="n">
        <v>-2450</v>
      </c>
      <c r="C30" s="69" t="n">
        <v>0.0006058502692346667</v>
      </c>
    </row>
    <row r="31">
      <c r="A31" s="109" t="inlineStr">
        <is>
          <t xml:space="preserve">    Job work</t>
        </is>
      </c>
      <c r="B31" s="110" t="n">
        <v>-221922.5</v>
      </c>
      <c r="C31" s="111" t="n">
        <v>0.05487828831601237</v>
      </c>
    </row>
    <row r="32">
      <c r="A32" s="64" t="inlineStr">
        <is>
          <t xml:space="preserve">    Manufacturing Wages</t>
        </is>
      </c>
      <c r="B32" s="68" t="n">
        <v>-160121</v>
      </c>
      <c r="C32" s="69" t="n">
        <v>0.03959565345311186</v>
      </c>
    </row>
    <row r="33">
      <c r="A33" s="96" t="inlineStr">
        <is>
          <t>TOTAL COGM</t>
        </is>
      </c>
      <c r="B33" s="71" t="n">
        <v>-422572.5</v>
      </c>
      <c r="C33" s="74" t="n">
        <v>0.1044961889372107</v>
      </c>
    </row>
    <row r="34">
      <c r="A34" s="102" t="n"/>
      <c r="B34" s="65" t="n"/>
      <c r="C34" s="103" t="n"/>
    </row>
    <row r="35">
      <c r="A35" s="112" t="inlineStr">
        <is>
          <t>GROSS MARGIN</t>
        </is>
      </c>
      <c r="B35" s="71" t="n">
        <v>1350731.08</v>
      </c>
      <c r="C35" s="113" t="n">
        <v>0.3340166483598498</v>
      </c>
    </row>
    <row r="36">
      <c r="A36" s="64" t="n"/>
      <c r="B36" s="65" t="n"/>
      <c r="C36" s="65" t="n"/>
    </row>
    <row r="37">
      <c r="A37" s="114" t="inlineStr">
        <is>
          <t>F. CHANNEL &amp; FULFILLMENT</t>
        </is>
      </c>
      <c r="B37" s="115" t="n"/>
      <c r="C37" s="115" t="n"/>
    </row>
    <row r="38">
      <c r="A38" s="64" t="inlineStr">
        <is>
          <t xml:space="preserve">    D2C Fees</t>
        </is>
      </c>
      <c r="B38" s="68" t="n">
        <v>-1320</v>
      </c>
      <c r="C38" s="69" t="n">
        <v>0.0003264172879141877</v>
      </c>
    </row>
    <row r="39">
      <c r="A39" s="96" t="inlineStr">
        <is>
          <t>TOTAL CHANNEL &amp; FULFILLMENT</t>
        </is>
      </c>
      <c r="B39" s="71" t="n">
        <v>-1320</v>
      </c>
      <c r="C39" s="74" t="n">
        <v>0.0003264172879141877</v>
      </c>
    </row>
    <row r="40">
      <c r="A40" s="102" t="n"/>
      <c r="B40" s="65" t="n"/>
      <c r="C40" s="103" t="n"/>
    </row>
    <row r="41">
      <c r="A41" s="112" t="inlineStr">
        <is>
          <t>CM1 (Contribution Margin 1)</t>
        </is>
      </c>
      <c r="B41" s="71" t="n">
        <v>1349411.08</v>
      </c>
      <c r="C41" s="113" t="n">
        <v>0.3336902310719356</v>
      </c>
    </row>
    <row r="42">
      <c r="A42" s="64" t="n"/>
      <c r="B42" s="65" t="n"/>
      <c r="C42" s="65" t="n"/>
    </row>
    <row r="43">
      <c r="A43" s="132" t="inlineStr">
        <is>
          <t>G. SALES &amp; MARKETING</t>
        </is>
      </c>
      <c r="B43" s="133" t="n"/>
      <c r="C43" s="133" t="n"/>
    </row>
    <row r="44">
      <c r="A44" s="64" t="inlineStr">
        <is>
          <t xml:space="preserve">    Advertising &amp; Marketing</t>
        </is>
      </c>
      <c r="B44" s="68" t="n">
        <v>-112723.81</v>
      </c>
      <c r="C44" s="69" t="n">
        <v>0.02787500026026833</v>
      </c>
    </row>
    <row r="45">
      <c r="A45" s="70" t="inlineStr">
        <is>
          <t>TOTAL SALES &amp; MARKETING</t>
        </is>
      </c>
      <c r="B45" s="71" t="n">
        <v>-112723.81</v>
      </c>
      <c r="C45" s="74" t="n">
        <v>0.02787500026026833</v>
      </c>
    </row>
    <row r="46">
      <c r="A46" s="140" t="n"/>
      <c r="B46" s="141" t="n"/>
      <c r="C46" s="141" t="n"/>
    </row>
    <row r="47">
      <c r="A47" s="70" t="inlineStr">
        <is>
          <t>CM2 (Contribution Margin 2)</t>
        </is>
      </c>
      <c r="B47" s="71" t="n">
        <v>1236687.27</v>
      </c>
      <c r="C47" s="74" t="n">
        <v>0.3058152308116673</v>
      </c>
    </row>
    <row r="48">
      <c r="A48" s="93" t="n"/>
      <c r="B48" s="65" t="n"/>
      <c r="C48" s="65" t="n"/>
    </row>
    <row r="49">
      <c r="A49" s="102" t="n"/>
      <c r="B49" s="65" t="n"/>
      <c r="C49" s="103" t="n"/>
    </row>
    <row r="50">
      <c r="A50" s="105" t="inlineStr">
        <is>
          <t>CM3 (Contribution Margin 3)</t>
        </is>
      </c>
      <c r="B50" s="71" t="n">
        <v>1236687.27</v>
      </c>
      <c r="C50" s="106" t="n">
        <v>0.3058152308116673</v>
      </c>
    </row>
    <row r="51">
      <c r="A51" s="102" t="n"/>
      <c r="B51" s="65" t="n"/>
      <c r="C51" s="103" t="n"/>
    </row>
    <row r="52">
      <c r="A52" s="107" t="inlineStr">
        <is>
          <t>I. OPERATING EXPENSES</t>
        </is>
      </c>
      <c r="B52" s="67" t="n"/>
      <c r="C52" s="108" t="n"/>
    </row>
    <row r="53">
      <c r="A53" s="102" t="inlineStr">
        <is>
          <t xml:space="preserve">    Legal &amp; CA expenses</t>
        </is>
      </c>
      <c r="B53" s="68" t="n">
        <v>-141550</v>
      </c>
      <c r="C53" s="104" t="n">
        <v>0.03500330841231309</v>
      </c>
    </row>
    <row r="54">
      <c r="A54" s="102" t="inlineStr">
        <is>
          <t xml:space="preserve">    Banks &amp; Finance Charges</t>
        </is>
      </c>
      <c r="B54" s="68" t="n">
        <v>-4.14</v>
      </c>
      <c r="C54" s="104" t="n">
        <v>1.023763312094498e-06</v>
      </c>
    </row>
    <row r="55">
      <c r="A55" s="102" t="inlineStr">
        <is>
          <t xml:space="preserve">    Other Operating Expenses</t>
        </is>
      </c>
      <c r="B55" s="68" t="n">
        <v>-60707.33</v>
      </c>
      <c r="C55" s="104" t="n">
        <v>0.01501206213266031</v>
      </c>
    </row>
    <row r="56">
      <c r="A56" s="102" t="inlineStr">
        <is>
          <t xml:space="preserve">    Miscellaneous (Travel, insurance)</t>
        </is>
      </c>
      <c r="B56" s="68" t="n">
        <v>-22440</v>
      </c>
      <c r="C56" s="104" t="n">
        <v>0.005549093894541192</v>
      </c>
    </row>
    <row r="57">
      <c r="A57" s="90" t="inlineStr">
        <is>
          <t xml:space="preserve">    Salaries (Admin Mgmt)</t>
        </is>
      </c>
      <c r="B57" s="68" t="n">
        <v>-332735</v>
      </c>
      <c r="C57" s="92" t="n">
        <v>0.08228064870767217</v>
      </c>
    </row>
    <row r="58">
      <c r="A58" s="64" t="inlineStr">
        <is>
          <t xml:space="preserve">    Administrative Expenses</t>
        </is>
      </c>
      <c r="B58" s="68" t="n">
        <v>-159517.23</v>
      </c>
      <c r="C58" s="69" t="n">
        <v>0.03944634969104827</v>
      </c>
    </row>
    <row r="59">
      <c r="A59" s="120" t="inlineStr">
        <is>
          <t xml:space="preserve">    Salaries Director</t>
        </is>
      </c>
      <c r="B59" s="121" t="n">
        <v>-88000</v>
      </c>
      <c r="C59" s="122" t="n">
        <v>0.02176115252761252</v>
      </c>
    </row>
    <row r="60">
      <c r="A60" s="64" t="inlineStr">
        <is>
          <t xml:space="preserve">    Staff Welfare &amp; Events</t>
        </is>
      </c>
      <c r="B60" s="68" t="n">
        <v>-2230</v>
      </c>
      <c r="C60" s="69" t="n">
        <v>0.0005514473879156353</v>
      </c>
    </row>
    <row r="61">
      <c r="A61" s="96" t="inlineStr">
        <is>
          <t>TOTAL OPERATING EXPENSES</t>
        </is>
      </c>
      <c r="B61" s="71" t="n">
        <v>-807183.7</v>
      </c>
      <c r="C61" s="74" t="n">
        <v>0.1996050865170753</v>
      </c>
    </row>
    <row r="62">
      <c r="A62" s="102" t="n"/>
      <c r="B62" s="65" t="n"/>
      <c r="C62" s="103" t="n"/>
    </row>
    <row r="63">
      <c r="A63" s="112" t="inlineStr">
        <is>
          <t>EBITDA</t>
        </is>
      </c>
      <c r="B63" s="71" t="n">
        <v>429503.57</v>
      </c>
      <c r="C63" s="113" t="n">
        <v>0.106210144294592</v>
      </c>
    </row>
    <row r="64">
      <c r="A64" s="64" t="n"/>
      <c r="B64" s="65" t="n"/>
      <c r="C64" s="65" t="n"/>
    </row>
    <row r="65">
      <c r="A65" s="54" t="inlineStr">
        <is>
          <t>J. NON-OPERATING (I+D+A+Tax)</t>
        </is>
      </c>
      <c r="B65" s="67" t="n"/>
      <c r="C65" s="67" t="n"/>
    </row>
    <row r="66">
      <c r="A66" s="137" t="inlineStr">
        <is>
          <t xml:space="preserve">    Less: Interest Expense</t>
        </is>
      </c>
      <c r="B66" s="138" t="n">
        <v>-23719</v>
      </c>
      <c r="C66" s="139" t="n">
        <v>0.005865372463664105</v>
      </c>
    </row>
    <row r="67">
      <c r="A67" s="70" t="inlineStr">
        <is>
          <t>TOTAL NON-OPERATING</t>
        </is>
      </c>
      <c r="B67" s="71" t="n">
        <v>-23719</v>
      </c>
      <c r="C67" s="74" t="n">
        <v>0.005865372463664105</v>
      </c>
    </row>
    <row r="68">
      <c r="B68" s="62" t="n"/>
      <c r="C68" s="62" t="n"/>
    </row>
    <row r="69">
      <c r="B69" s="62" t="n"/>
      <c r="C69" s="62" t="n"/>
    </row>
    <row r="70">
      <c r="A70" s="70" t="inlineStr">
        <is>
          <t>NET INCOME</t>
        </is>
      </c>
      <c r="B70" s="71" t="n">
        <v>405784.57</v>
      </c>
      <c r="C70" s="74" t="n">
        <v>0.1003447718309279</v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0" customWidth="1" style="2" min="1" max="1"/>
    <col width="17" customWidth="1" style="2" min="2" max="2"/>
    <col width="13" customWidth="1" style="2" min="3" max="3"/>
  </cols>
  <sheetData>
    <row r="1" ht="24" customHeight="1" s="2">
      <c r="A1" s="61" t="inlineStr">
        <is>
          <t>Dec 2023 - PROFIT &amp; LOSS STATEMENT</t>
        </is>
      </c>
    </row>
    <row r="2">
      <c r="A2" s="63" t="inlineStr">
        <is>
          <t>Heatronics Pvt Ltd</t>
        </is>
      </c>
    </row>
    <row r="3">
      <c r="A3" s="81" t="inlineStr">
        <is>
          <t>Generated: 24 Jan 2026</t>
        </is>
      </c>
      <c r="B3" s="51" t="n"/>
      <c r="C3" s="51" t="n"/>
    </row>
    <row r="4">
      <c r="A4" s="64" t="n"/>
      <c r="B4" s="65" t="n"/>
      <c r="C4" s="65" t="n"/>
    </row>
    <row r="5">
      <c r="A5" s="83" t="inlineStr">
        <is>
          <t>Revenue Formula: Net Revenue = Gross Revenue - Returns - Discounts - Taxes (GST)</t>
        </is>
      </c>
      <c r="B5" s="65" t="n"/>
      <c r="C5" s="65" t="n"/>
    </row>
    <row r="6">
      <c r="A6" s="64" t="n"/>
      <c r="B6" s="65" t="n"/>
      <c r="C6" s="65" t="n"/>
    </row>
    <row r="7">
      <c r="A7" s="84" t="inlineStr">
        <is>
          <t>Particulars</t>
        </is>
      </c>
      <c r="B7" s="85" t="inlineStr">
        <is>
          <t>Amount (₹)</t>
        </is>
      </c>
      <c r="C7" s="85" t="inlineStr">
        <is>
          <t>% of Revenue</t>
        </is>
      </c>
    </row>
    <row r="8">
      <c r="A8" s="86" t="inlineStr">
        <is>
          <t>A. GROSS REVENUE (from Sales Register, by channel)</t>
        </is>
      </c>
      <c r="B8" s="67" t="n"/>
      <c r="C8" s="67" t="n"/>
    </row>
    <row r="9">
      <c r="A9" s="87" t="inlineStr">
        <is>
          <t xml:space="preserve">    Amazon</t>
        </is>
      </c>
      <c r="B9" s="88" t="n">
        <v>77908</v>
      </c>
      <c r="C9" s="89" t="n">
        <v>0.01655717304083932</v>
      </c>
    </row>
    <row r="10">
      <c r="A10" s="87" t="inlineStr">
        <is>
          <t xml:space="preserve">    OEM</t>
        </is>
      </c>
      <c r="B10" s="88" t="n">
        <v>3635681</v>
      </c>
      <c r="C10" s="89" t="n">
        <v>0.7726626205048484</v>
      </c>
    </row>
    <row r="11">
      <c r="A11" s="90" t="inlineStr">
        <is>
          <t xml:space="preserve">    Offline</t>
        </is>
      </c>
      <c r="B11" s="91" t="n">
        <v>1236373</v>
      </c>
      <c r="C11" s="92" t="n">
        <v>0.2627566065618631</v>
      </c>
    </row>
    <row r="12">
      <c r="A12" s="70" t="inlineStr">
        <is>
          <t>TOTAL GROSS REVENUE</t>
        </is>
      </c>
      <c r="B12" s="71" t="n">
        <v>4949962</v>
      </c>
      <c r="C12" s="72" t="n"/>
    </row>
    <row r="13">
      <c r="A13" s="93" t="inlineStr"/>
      <c r="B13" s="65" t="n"/>
      <c r="C13" s="65" t="n"/>
    </row>
    <row r="14">
      <c r="A14" s="125" t="inlineStr">
        <is>
          <t>B. RETURNS</t>
        </is>
      </c>
      <c r="B14" s="67" t="n"/>
      <c r="C14" s="126" t="n"/>
    </row>
    <row r="15">
      <c r="A15" s="70" t="inlineStr">
        <is>
          <t>TOTAL RETURNS</t>
        </is>
      </c>
      <c r="B15" s="71" t="n">
        <v>0</v>
      </c>
      <c r="C15" s="74" t="n">
        <v>0</v>
      </c>
    </row>
    <row r="16">
      <c r="A16" s="127" t="inlineStr"/>
      <c r="B16" s="128" t="n"/>
      <c r="C16" s="128" t="n"/>
    </row>
    <row r="17">
      <c r="A17" s="54" t="inlineStr">
        <is>
          <t>D. TAXES (GST Collected)</t>
        </is>
      </c>
      <c r="B17" s="67" t="n"/>
      <c r="C17" s="67" t="n"/>
    </row>
    <row r="18">
      <c r="A18" s="96" t="inlineStr">
        <is>
          <t>TOTAL TAXES</t>
        </is>
      </c>
      <c r="B18" s="71" t="n">
        <v>-244569.37</v>
      </c>
      <c r="C18" s="74" t="n">
        <v>0.05197640010755064</v>
      </c>
    </row>
    <row r="19">
      <c r="A19" s="102" t="inlineStr"/>
      <c r="B19" s="65" t="n"/>
      <c r="C19" s="103" t="n"/>
    </row>
    <row r="20">
      <c r="A20" s="161" t="inlineStr">
        <is>
          <t>NET REVENUE (external)</t>
        </is>
      </c>
      <c r="B20" s="76" t="n">
        <v>4705392.63</v>
      </c>
      <c r="C20" s="162" t="n">
        <v>1</v>
      </c>
    </row>
    <row r="21">
      <c r="A21" s="102" t="inlineStr"/>
      <c r="B21" s="65" t="n"/>
      <c r="C21" s="103" t="n"/>
    </row>
    <row r="22">
      <c r="A22" s="102" t="inlineStr">
        <is>
          <t>Add: Inter-branch (Internal) Transactions</t>
        </is>
      </c>
      <c r="B22" s="68" t="n">
        <v>0</v>
      </c>
      <c r="C22" s="104" t="n">
        <v>0</v>
      </c>
    </row>
    <row r="23">
      <c r="A23" s="105" t="inlineStr">
        <is>
          <t>TURNOVER (Total — audited basis)</t>
        </is>
      </c>
      <c r="B23" s="71" t="n">
        <v>4705392.63</v>
      </c>
      <c r="C23" s="106" t="n">
        <v>1</v>
      </c>
    </row>
    <row r="24">
      <c r="A24" s="102" t="inlineStr"/>
      <c r="B24" s="65" t="n"/>
      <c r="C24" s="103" t="n"/>
    </row>
    <row r="25">
      <c r="A25" s="125" t="inlineStr">
        <is>
          <t>E. COST OF GOODS MANUFACTURED (COGM)</t>
        </is>
      </c>
      <c r="B25" s="67" t="n"/>
      <c r="C25" s="126" t="n"/>
    </row>
    <row r="26">
      <c r="A26" s="64" t="inlineStr">
        <is>
          <t xml:space="preserve">    Raw Materials &amp; Inventory</t>
        </is>
      </c>
      <c r="B26" s="68" t="n">
        <v>-2642017.56</v>
      </c>
      <c r="C26" s="69" t="n">
        <v>0.5614871632933212</v>
      </c>
    </row>
    <row r="27">
      <c r="A27" s="109" t="inlineStr">
        <is>
          <t xml:space="preserve">    Consumables</t>
        </is>
      </c>
      <c r="B27" s="110" t="n">
        <v>-4180</v>
      </c>
      <c r="C27" s="111" t="n">
        <v>0.0008883424463560654</v>
      </c>
    </row>
    <row r="28">
      <c r="A28" s="64" t="inlineStr">
        <is>
          <t xml:space="preserve">    Factory Maintenance</t>
        </is>
      </c>
      <c r="B28" s="68" t="n">
        <v>-29885</v>
      </c>
      <c r="C28" s="69" t="n">
        <v>0.006351223447213161</v>
      </c>
    </row>
    <row r="29">
      <c r="A29" s="93" t="inlineStr">
        <is>
          <t xml:space="preserve">    Inbound Transport</t>
        </is>
      </c>
      <c r="B29" s="68" t="n">
        <v>-1200</v>
      </c>
      <c r="C29" s="69" t="n">
        <v>0.0002550265396237508</v>
      </c>
    </row>
    <row r="30">
      <c r="A30" s="102" t="inlineStr">
        <is>
          <t xml:space="preserve">    Job work</t>
        </is>
      </c>
      <c r="B30" s="68" t="n">
        <v>-380681</v>
      </c>
      <c r="C30" s="104" t="n">
        <v>0.08090313177542423</v>
      </c>
    </row>
    <row r="31">
      <c r="A31" s="90" t="inlineStr">
        <is>
          <t xml:space="preserve">    Manufacturing Wages</t>
        </is>
      </c>
      <c r="B31" s="68" t="n">
        <v>-126784</v>
      </c>
      <c r="C31" s="92" t="n">
        <v>0.02694440399971468</v>
      </c>
    </row>
    <row r="32">
      <c r="A32" s="70" t="inlineStr">
        <is>
          <t>TOTAL COGM</t>
        </is>
      </c>
      <c r="B32" s="71" t="n">
        <v>-542730</v>
      </c>
      <c r="C32" s="74" t="n">
        <v>0.1153421282083319</v>
      </c>
    </row>
    <row r="33">
      <c r="A33" s="129" t="n"/>
      <c r="B33" s="160" t="n"/>
      <c r="C33" s="160" t="n"/>
    </row>
    <row r="34">
      <c r="A34" s="70" t="inlineStr">
        <is>
          <t>GROSS MARGIN</t>
        </is>
      </c>
      <c r="B34" s="71" t="n">
        <v>1520645.07</v>
      </c>
      <c r="C34" s="74" t="n">
        <v>0.3231707084983469</v>
      </c>
    </row>
    <row r="35">
      <c r="A35" s="93" t="n"/>
      <c r="B35" s="65" t="n"/>
      <c r="C35" s="65" t="n"/>
    </row>
    <row r="36">
      <c r="A36" s="107" t="inlineStr">
        <is>
          <t>F. CHANNEL &amp; FULFILLMENT</t>
        </is>
      </c>
      <c r="B36" s="67" t="n"/>
      <c r="C36" s="108" t="n"/>
    </row>
    <row r="37">
      <c r="A37" s="90" t="inlineStr">
        <is>
          <t xml:space="preserve">    D2C Fees</t>
        </is>
      </c>
      <c r="B37" s="68" t="n">
        <v>-12077</v>
      </c>
      <c r="C37" s="92" t="n">
        <v>0.002566629599196699</v>
      </c>
    </row>
    <row r="38">
      <c r="A38" s="70" t="inlineStr">
        <is>
          <t>TOTAL CHANNEL &amp; FULFILLMENT</t>
        </is>
      </c>
      <c r="B38" s="71" t="n">
        <v>-12077</v>
      </c>
      <c r="C38" s="74" t="n">
        <v>0.002566629599196699</v>
      </c>
    </row>
    <row r="39">
      <c r="A39" s="116" t="n"/>
      <c r="B39" s="117" t="n"/>
      <c r="C39" s="117" t="n"/>
    </row>
    <row r="40">
      <c r="A40" s="70" t="inlineStr">
        <is>
          <t>CM1 (Contribution Margin 1)</t>
        </is>
      </c>
      <c r="B40" s="71" t="n">
        <v>1508568.07</v>
      </c>
      <c r="C40" s="74" t="n">
        <v>0.3206040788991503</v>
      </c>
    </row>
    <row r="41">
      <c r="A41" s="64" t="n"/>
      <c r="B41" s="65" t="n"/>
      <c r="C41" s="65" t="n"/>
    </row>
    <row r="42">
      <c r="A42" s="118" t="inlineStr">
        <is>
          <t>G. SALES &amp; MARKETING</t>
        </is>
      </c>
      <c r="B42" s="119" t="n"/>
      <c r="C42" s="119" t="n"/>
    </row>
    <row r="43">
      <c r="A43" s="64" t="inlineStr">
        <is>
          <t xml:space="preserve">    Advertising &amp; Marketing</t>
        </is>
      </c>
      <c r="B43" s="68" t="n">
        <v>-93219.44</v>
      </c>
      <c r="C43" s="69" t="n">
        <v>0.01981119267405322</v>
      </c>
    </row>
    <row r="44">
      <c r="A44" s="96" t="inlineStr">
        <is>
          <t>TOTAL SALES &amp; MARKETING</t>
        </is>
      </c>
      <c r="B44" s="71" t="n">
        <v>-93219.44</v>
      </c>
      <c r="C44" s="74" t="n">
        <v>0.01981119267405322</v>
      </c>
    </row>
    <row r="45">
      <c r="A45" s="102" t="n"/>
      <c r="B45" s="65" t="n"/>
      <c r="C45" s="103" t="n"/>
    </row>
    <row r="46">
      <c r="A46" s="105" t="inlineStr">
        <is>
          <t>CM2 (Contribution Margin 2)</t>
        </is>
      </c>
      <c r="B46" s="163" t="n">
        <v>1415348.63</v>
      </c>
      <c r="C46" s="106" t="n">
        <v>0.300792886225097</v>
      </c>
    </row>
    <row r="47">
      <c r="A47" s="102" t="n"/>
      <c r="B47" s="65" t="n"/>
      <c r="C47" s="103" t="n"/>
    </row>
    <row r="48">
      <c r="A48" s="102" t="n"/>
      <c r="B48" s="65" t="n"/>
      <c r="C48" s="103" t="n"/>
    </row>
    <row r="49">
      <c r="A49" s="105" t="inlineStr">
        <is>
          <t>CM3 (Contribution Margin 3)</t>
        </is>
      </c>
      <c r="B49" s="71" t="n">
        <v>1415348.63</v>
      </c>
      <c r="C49" s="106" t="n">
        <v>0.300792886225097</v>
      </c>
    </row>
    <row r="50">
      <c r="A50" s="102" t="n"/>
      <c r="B50" s="65" t="n"/>
      <c r="C50" s="103" t="n"/>
    </row>
    <row r="51">
      <c r="A51" s="107" t="inlineStr">
        <is>
          <t>I. OPERATING EXPENSES</t>
        </is>
      </c>
      <c r="B51" s="67" t="n"/>
      <c r="C51" s="108" t="n"/>
    </row>
    <row r="52">
      <c r="A52" s="102" t="inlineStr">
        <is>
          <t xml:space="preserve">    Legal &amp; CA expenses</t>
        </is>
      </c>
      <c r="B52" s="68" t="n">
        <v>-64500</v>
      </c>
      <c r="C52" s="104" t="n">
        <v>0.01370767650477661</v>
      </c>
    </row>
    <row r="53">
      <c r="A53" s="90" t="inlineStr">
        <is>
          <t xml:space="preserve">    Banks &amp; Finance Charges</t>
        </is>
      </c>
      <c r="B53" s="68" t="n">
        <v>1</v>
      </c>
      <c r="C53" s="92" t="n">
        <v>2.125221163531257e-07</v>
      </c>
    </row>
    <row r="54">
      <c r="A54" s="64" t="inlineStr">
        <is>
          <t xml:space="preserve">    Other Operating Expenses</t>
        </is>
      </c>
      <c r="B54" s="68" t="n">
        <v>-26614.21</v>
      </c>
      <c r="C54" s="69" t="n">
        <v>0.005656108234266521</v>
      </c>
    </row>
    <row r="55">
      <c r="A55" s="120" t="inlineStr">
        <is>
          <t xml:space="preserve">    Miscellaneous (Travel, insurance)</t>
        </is>
      </c>
      <c r="B55" s="121" t="n">
        <v>-18290</v>
      </c>
      <c r="C55" s="122" t="n">
        <v>0.003887029508098669</v>
      </c>
    </row>
    <row r="56">
      <c r="A56" s="64" t="inlineStr">
        <is>
          <t xml:space="preserve">    Staff Welfare &amp; Events</t>
        </is>
      </c>
      <c r="B56" s="68" t="n">
        <v>-46593</v>
      </c>
      <c r="C56" s="69" t="n">
        <v>0.009902042967241185</v>
      </c>
    </row>
    <row r="57">
      <c r="A57" s="93" t="inlineStr">
        <is>
          <t xml:space="preserve">    Salaries (Admin Mgmt)</t>
        </is>
      </c>
      <c r="B57" s="68" t="n">
        <v>-299809</v>
      </c>
      <c r="C57" s="69" t="n">
        <v>0.06371604318171425</v>
      </c>
    </row>
    <row r="58">
      <c r="A58" s="102" t="inlineStr">
        <is>
          <t xml:space="preserve">    Administrative Expenses</t>
        </is>
      </c>
      <c r="B58" s="68" t="n">
        <v>-170374.5</v>
      </c>
      <c r="C58" s="104" t="n">
        <v>0.03620834931260561</v>
      </c>
    </row>
    <row r="59">
      <c r="A59" s="90" t="inlineStr">
        <is>
          <t xml:space="preserve">    Salaries Director</t>
        </is>
      </c>
      <c r="B59" s="68" t="n">
        <v>-88000</v>
      </c>
      <c r="C59" s="92" t="n">
        <v>0.01870194623907506</v>
      </c>
    </row>
    <row r="60">
      <c r="A60" s="70" t="inlineStr">
        <is>
          <t>TOTAL OPERATING EXPENSES</t>
        </is>
      </c>
      <c r="B60" s="71" t="n">
        <v>-714179.71</v>
      </c>
      <c r="C60" s="74" t="n">
        <v>0.1517789834256615</v>
      </c>
    </row>
    <row r="61">
      <c r="A61" s="64" t="n"/>
      <c r="B61" s="65" t="n"/>
      <c r="C61" s="65" t="n"/>
    </row>
    <row r="62">
      <c r="A62" s="151" t="inlineStr">
        <is>
          <t>EBITDA</t>
        </is>
      </c>
      <c r="B62" s="152" t="n">
        <v>701168.92</v>
      </c>
      <c r="C62" s="153" t="n">
        <v>0.1490139027994355</v>
      </c>
    </row>
    <row r="63">
      <c r="B63" s="62" t="n"/>
      <c r="C63" s="62" t="n"/>
    </row>
    <row r="64">
      <c r="A64" s="54" t="inlineStr">
        <is>
          <t>J. NON-OPERATING (I+D+A+Tax)</t>
        </is>
      </c>
      <c r="B64" s="80" t="n"/>
      <c r="C64" s="80" t="n"/>
    </row>
    <row r="65">
      <c r="A65" t="inlineStr">
        <is>
          <t xml:space="preserve">    Less: Interest Expense</t>
        </is>
      </c>
      <c r="B65" s="78" t="n">
        <v>-23944</v>
      </c>
      <c r="C65" s="79" t="n">
        <v>0.005088629553959241</v>
      </c>
    </row>
    <row r="66">
      <c r="A66" s="70" t="inlineStr">
        <is>
          <t>TOTAL NON-OPERATING</t>
        </is>
      </c>
      <c r="B66" s="71" t="n">
        <v>-23944</v>
      </c>
      <c r="C66" s="74" t="n">
        <v>0.005088629553959241</v>
      </c>
    </row>
    <row r="67">
      <c r="B67" s="62" t="n"/>
      <c r="C67" s="62" t="n"/>
    </row>
    <row r="68">
      <c r="B68" s="62" t="n"/>
      <c r="C68" s="62" t="n"/>
    </row>
    <row r="69">
      <c r="A69" s="70" t="inlineStr">
        <is>
          <t>NET INCOME</t>
        </is>
      </c>
      <c r="B69" s="71" t="n">
        <v>677224.92</v>
      </c>
      <c r="C69" s="74" t="n">
        <v>0.1439252732454762</v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cols>
    <col width="25.83203125" customWidth="1" style="2" min="1" max="1"/>
    <col width="30.83203125" customWidth="1" style="2" min="2" max="2"/>
    <col width="12.83203125" customWidth="1" style="2" min="3" max="3"/>
    <col width="45.83203125" customWidth="1" style="2" min="4" max="4"/>
    <col width="15.83203125" customWidth="1" style="2" min="5" max="5"/>
    <col width="10.83203125" customWidth="1" style="2" min="6" max="6"/>
    <col width="15.83203125" customWidth="1" style="2" min="7" max="7"/>
  </cols>
  <sheetData>
    <row r="1">
      <c r="A1" s="40" t="inlineStr">
        <is>
          <t>Dec 2025 - TRANSACTION DETAILS</t>
        </is>
      </c>
    </row>
    <row r="3">
      <c r="A3" s="5" t="inlineStr">
        <is>
          <t>Head</t>
        </is>
      </c>
      <c r="B3" s="5" t="inlineStr">
        <is>
          <t>Subhead</t>
        </is>
      </c>
      <c r="C3" s="5" t="inlineStr">
        <is>
          <t>Date</t>
        </is>
      </c>
      <c r="D3" s="5" t="inlineStr">
        <is>
          <t>Account</t>
        </is>
      </c>
      <c r="E3" s="5" t="inlineStr">
        <is>
          <t>Amount (₹)</t>
        </is>
      </c>
      <c r="F3" s="5" t="inlineStr">
        <is>
          <t>Type</t>
        </is>
      </c>
      <c r="G3" s="5" t="inlineStr">
        <is>
          <t>Source</t>
        </is>
      </c>
    </row>
    <row r="4">
      <c r="A4" s="24" t="inlineStr">
        <is>
          <t>E. COGM</t>
        </is>
      </c>
      <c r="B4" s="24" t="str"/>
      <c r="C4" s="24" t="str"/>
      <c r="D4" s="24" t="str"/>
      <c r="E4" s="37" t="n">
        <v>555716.11</v>
      </c>
      <c r="F4" s="24" t="inlineStr">
        <is>
          <t>5 txns</t>
        </is>
      </c>
      <c r="G4" s="24" t="str"/>
    </row>
    <row r="5">
      <c r="A5" s="34" t="str"/>
      <c r="B5" s="38" t="inlineStr">
        <is>
          <t>Raw Materials &amp; Inventory</t>
        </is>
      </c>
      <c r="C5" s="34" t="str"/>
      <c r="D5" s="34" t="str"/>
      <c r="E5" s="35" t="n">
        <v>3104517.76</v>
      </c>
      <c r="F5" s="34" t="inlineStr">
        <is>
          <t>1 txns</t>
        </is>
      </c>
      <c r="G5" s="34" t="inlineStr">
        <is>
          <t>calculated</t>
        </is>
      </c>
    </row>
    <row r="6">
      <c r="A6" s="6" t="str"/>
      <c r="B6" s="6" t="str"/>
      <c r="C6" s="6" t="str"/>
      <c r="D6" s="6" t="inlineStr">
        <is>
          <t>Raw Materials (Prorated by Revenue)</t>
        </is>
      </c>
      <c r="E6" s="39" t="n">
        <v>3104517.76</v>
      </c>
      <c r="F6" s="6" t="inlineStr">
        <is>
          <t>debit</t>
        </is>
      </c>
      <c r="G6" s="6" t="inlineStr">
        <is>
          <t>calculated</t>
        </is>
      </c>
    </row>
    <row r="7">
      <c r="A7" s="34" t="str"/>
      <c r="B7" s="38" t="inlineStr">
        <is>
          <t>Consumables</t>
        </is>
      </c>
      <c r="C7" s="34" t="str"/>
      <c r="D7" s="34" t="str"/>
      <c r="E7" s="35" t="n">
        <v>6560</v>
      </c>
      <c r="F7" s="34" t="inlineStr">
        <is>
          <t>1 txns</t>
        </is>
      </c>
      <c r="G7" s="34" t="inlineStr">
        <is>
          <t>balance_sheet</t>
        </is>
      </c>
    </row>
    <row r="8">
      <c r="A8" s="6" t="str"/>
      <c r="B8" s="6" t="str"/>
      <c r="C8" s="6" t="str"/>
      <c r="D8" s="6" t="inlineStr">
        <is>
          <t>CONSUMABLE EXPENSES @%</t>
        </is>
      </c>
      <c r="E8" s="39" t="n">
        <v>6560</v>
      </c>
      <c r="F8" s="6" t="inlineStr">
        <is>
          <t>debit</t>
        </is>
      </c>
      <c r="G8" s="6" t="inlineStr">
        <is>
          <t>balance_sheet</t>
        </is>
      </c>
    </row>
    <row r="9">
      <c r="A9" s="34" t="str"/>
      <c r="B9" s="38" t="inlineStr">
        <is>
          <t>Factory Maintenance</t>
        </is>
      </c>
      <c r="C9" s="34" t="str"/>
      <c r="D9" s="34" t="str"/>
      <c r="E9" s="35" t="n">
        <v>30951</v>
      </c>
      <c r="F9" s="34" t="inlineStr">
        <is>
          <t>2 txns</t>
        </is>
      </c>
      <c r="G9" s="34" t="inlineStr">
        <is>
          <t>balance_sheet</t>
        </is>
      </c>
    </row>
    <row r="10">
      <c r="A10" s="6" t="str"/>
      <c r="B10" s="6" t="str"/>
      <c r="C10" s="6" t="str"/>
      <c r="D10" s="6" t="inlineStr">
        <is>
          <t>Electricity &amp; Water Expenses</t>
        </is>
      </c>
      <c r="E10" s="39" t="n">
        <v>11951</v>
      </c>
      <c r="F10" s="6" t="inlineStr">
        <is>
          <t>debit</t>
        </is>
      </c>
      <c r="G10" s="6" t="inlineStr">
        <is>
          <t>balance_sheet</t>
        </is>
      </c>
    </row>
    <row r="11">
      <c r="A11" s="6" t="str"/>
      <c r="B11" s="6" t="str"/>
      <c r="C11" s="6" t="str"/>
      <c r="D11" s="6" t="inlineStr">
        <is>
          <t>POWER BACKUP &amp; MAITENANCE (D</t>
        </is>
      </c>
      <c r="E11" s="39" t="n">
        <v>19000</v>
      </c>
      <c r="F11" s="6" t="inlineStr">
        <is>
          <t>debit</t>
        </is>
      </c>
      <c r="G11" s="6" t="inlineStr">
        <is>
          <t>balance_sheet</t>
        </is>
      </c>
    </row>
    <row r="12">
      <c r="A12" s="34" t="str"/>
      <c r="B12" s="38" t="inlineStr">
        <is>
          <t>Inbound Transport</t>
        </is>
      </c>
      <c r="C12" s="34" t="str"/>
      <c r="D12" s="34" t="str"/>
      <c r="E12" s="35" t="n">
        <v>335372.66</v>
      </c>
      <c r="F12" s="34" t="inlineStr">
        <is>
          <t>1 txns</t>
        </is>
      </c>
      <c r="G12" s="34" t="inlineStr">
        <is>
          <t>balance_sheet</t>
        </is>
      </c>
    </row>
    <row r="13">
      <c r="A13" s="6" t="str"/>
      <c r="B13" s="6" t="str"/>
      <c r="C13" s="6" t="str"/>
      <c r="D13" s="6" t="inlineStr">
        <is>
          <t>FREIGHT CHARES @%</t>
        </is>
      </c>
      <c r="E13" s="39" t="n">
        <v>335372.66</v>
      </c>
      <c r="F13" s="6" t="inlineStr">
        <is>
          <t>debit</t>
        </is>
      </c>
      <c r="G13" s="6" t="inlineStr">
        <is>
          <t>balance_sheet</t>
        </is>
      </c>
    </row>
    <row r="14">
      <c r="A14" s="34" t="str"/>
      <c r="B14" s="38" t="inlineStr">
        <is>
          <t>Job work</t>
        </is>
      </c>
      <c r="C14" s="34" t="str"/>
      <c r="D14" s="34" t="str"/>
      <c r="E14" s="35" t="n">
        <v>182832.45</v>
      </c>
      <c r="F14" s="34" t="inlineStr">
        <is>
          <t>1 txns</t>
        </is>
      </c>
      <c r="G14" s="34" t="inlineStr">
        <is>
          <t>balance_sheet</t>
        </is>
      </c>
    </row>
    <row r="15">
      <c r="A15" s="6" t="str"/>
      <c r="B15" s="6" t="str"/>
      <c r="C15" s="6" t="str"/>
      <c r="D15" s="6" t="inlineStr">
        <is>
          <t>JOB WORK @%</t>
        </is>
      </c>
      <c r="E15" s="39" t="n">
        <v>182832.45</v>
      </c>
      <c r="F15" s="6" t="inlineStr">
        <is>
          <t>debit</t>
        </is>
      </c>
      <c r="G15" s="6" t="inlineStr">
        <is>
          <t>balance_sheet</t>
        </is>
      </c>
    </row>
    <row r="17">
      <c r="A17" s="24" t="inlineStr">
        <is>
          <t>F. Channel &amp; Fulfillment</t>
        </is>
      </c>
      <c r="B17" s="24" t="str"/>
      <c r="C17" s="24" t="str"/>
      <c r="D17" s="24" t="str"/>
      <c r="E17" s="37" t="n">
        <v>516526.7</v>
      </c>
      <c r="F17" s="24" t="inlineStr">
        <is>
          <t>13 txns</t>
        </is>
      </c>
      <c r="G17" s="24" t="str"/>
    </row>
    <row r="18">
      <c r="A18" s="34" t="str"/>
      <c r="B18" s="38" t="inlineStr">
        <is>
          <t>Amazon Fees</t>
        </is>
      </c>
      <c r="C18" s="34" t="str"/>
      <c r="D18" s="34" t="str"/>
      <c r="E18" s="35" t="n">
        <v>389123.76</v>
      </c>
      <c r="F18" s="34" t="inlineStr">
        <is>
          <t>7 txns</t>
        </is>
      </c>
      <c r="G18" s="34" t="inlineStr">
        <is>
          <t>balance_sheet</t>
        </is>
      </c>
    </row>
    <row r="19">
      <c r="A19" s="6" t="str"/>
      <c r="B19" s="6" t="str"/>
      <c r="C19" s="6" t="str"/>
      <c r="D19" s="6" t="inlineStr">
        <is>
          <t>AMAZON LOGISTICS EXP.</t>
        </is>
      </c>
      <c r="E19" s="39" t="n">
        <v>77137.49000000001</v>
      </c>
      <c r="F19" s="6" t="inlineStr">
        <is>
          <t>debit</t>
        </is>
      </c>
      <c r="G19" s="6" t="inlineStr">
        <is>
          <t>balance_sheet</t>
        </is>
      </c>
    </row>
    <row r="20">
      <c r="A20" s="6" t="str"/>
      <c r="B20" s="6" t="str"/>
      <c r="C20" s="6" t="str"/>
      <c r="D20" s="6" t="inlineStr">
        <is>
          <t>SHIPPING FEE</t>
        </is>
      </c>
      <c r="E20" s="39" t="n">
        <v>18350</v>
      </c>
      <c r="F20" s="6" t="inlineStr">
        <is>
          <t>debit</t>
        </is>
      </c>
      <c r="G20" s="6" t="inlineStr">
        <is>
          <t>balance_sheet</t>
        </is>
      </c>
    </row>
    <row r="21">
      <c r="A21" s="6" t="str"/>
      <c r="B21" s="6" t="str"/>
      <c r="C21" s="6" t="str"/>
      <c r="D21" s="6" t="inlineStr">
        <is>
          <t>Storage Fee</t>
        </is>
      </c>
      <c r="E21" s="39" t="n">
        <v>37833.55</v>
      </c>
      <c r="F21" s="6" t="inlineStr">
        <is>
          <t>debit</t>
        </is>
      </c>
      <c r="G21" s="6" t="inlineStr">
        <is>
          <t>balance_sheet</t>
        </is>
      </c>
    </row>
    <row r="22">
      <c r="A22" s="6" t="str"/>
      <c r="B22" s="6" t="str"/>
      <c r="C22" s="6" t="str"/>
      <c r="D22" s="6" t="inlineStr">
        <is>
          <t>AMAZON LOGISTICS EXP.</t>
        </is>
      </c>
      <c r="E22" s="39" t="n">
        <v>50495.06</v>
      </c>
      <c r="F22" s="6" t="inlineStr">
        <is>
          <t>debit</t>
        </is>
      </c>
      <c r="G22" s="6" t="inlineStr">
        <is>
          <t>balance_sheet</t>
        </is>
      </c>
    </row>
    <row r="23">
      <c r="A23" s="6" t="str"/>
      <c r="B23" s="6" t="str"/>
      <c r="C23" s="6" t="str"/>
      <c r="D23" s="6" t="inlineStr">
        <is>
          <t>AMAZON LOGISCTICS EXP.</t>
        </is>
      </c>
      <c r="E23" s="39" t="n">
        <v>28655.91</v>
      </c>
      <c r="F23" s="6" t="inlineStr">
        <is>
          <t>debit</t>
        </is>
      </c>
      <c r="G23" s="6" t="inlineStr">
        <is>
          <t>balance_sheet</t>
        </is>
      </c>
    </row>
    <row r="24">
      <c r="A24" s="6" t="str"/>
      <c r="B24" s="6" t="str"/>
      <c r="C24" s="6" t="str"/>
      <c r="D24" s="6" t="inlineStr">
        <is>
          <t>AMAZON LOGISCTICS EXP.</t>
        </is>
      </c>
      <c r="E24" s="39" t="n">
        <v>35318.73</v>
      </c>
      <c r="F24" s="6" t="inlineStr">
        <is>
          <t>debit</t>
        </is>
      </c>
      <c r="G24" s="6" t="inlineStr">
        <is>
          <t>balance_sheet</t>
        </is>
      </c>
    </row>
    <row r="25">
      <c r="A25" s="6" t="str"/>
      <c r="B25" s="6" t="str"/>
      <c r="C25" s="6" t="str"/>
      <c r="D25" s="6" t="inlineStr">
        <is>
          <t>AMAZON LOGISCTICS EXP.</t>
        </is>
      </c>
      <c r="E25" s="39" t="n">
        <v>141333.02</v>
      </c>
      <c r="F25" s="6" t="inlineStr">
        <is>
          <t>debit</t>
        </is>
      </c>
      <c r="G25" s="6" t="inlineStr">
        <is>
          <t>balance_sheet</t>
        </is>
      </c>
    </row>
    <row r="26">
      <c r="A26" s="34" t="str"/>
      <c r="B26" s="38" t="inlineStr">
        <is>
          <t>D2C Fees</t>
        </is>
      </c>
      <c r="C26" s="34" t="str"/>
      <c r="D26" s="34" t="str"/>
      <c r="E26" s="35" t="n">
        <v>127402.94</v>
      </c>
      <c r="F26" s="34" t="inlineStr">
        <is>
          <t>6 txns</t>
        </is>
      </c>
      <c r="G26" s="34" t="inlineStr">
        <is>
          <t>balance_sheet</t>
        </is>
      </c>
    </row>
    <row r="27">
      <c r="A27" s="6" t="str"/>
      <c r="B27" s="6" t="str"/>
      <c r="C27" s="6" t="str"/>
      <c r="D27" s="6" t="inlineStr">
        <is>
          <t>COURIER &amp; POSTAGE EXPENSE</t>
        </is>
      </c>
      <c r="E27" s="39" t="n">
        <v>7048</v>
      </c>
      <c r="F27" s="6" t="inlineStr">
        <is>
          <t>debit</t>
        </is>
      </c>
      <c r="G27" s="6" t="inlineStr">
        <is>
          <t>balance_sheet</t>
        </is>
      </c>
    </row>
    <row r="28">
      <c r="A28" s="6" t="str"/>
      <c r="B28" s="6" t="str"/>
      <c r="C28" s="6" t="str"/>
      <c r="D28" s="6" t="inlineStr">
        <is>
          <t>FREIGHT CHARGE@%</t>
        </is>
      </c>
      <c r="E28" s="39" t="n">
        <v>50530</v>
      </c>
      <c r="F28" s="6" t="inlineStr">
        <is>
          <t>debit</t>
        </is>
      </c>
      <c r="G28" s="6" t="inlineStr">
        <is>
          <t>balance_sheet</t>
        </is>
      </c>
    </row>
    <row r="29">
      <c r="A29" s="6" t="str"/>
      <c r="B29" s="6" t="str"/>
      <c r="C29" s="6" t="str"/>
      <c r="D29" s="6" t="inlineStr">
        <is>
          <t>LOADING &amp; UNLOADING EXP.</t>
        </is>
      </c>
      <c r="E29" s="39" t="n">
        <v>16924</v>
      </c>
      <c r="F29" s="6" t="inlineStr">
        <is>
          <t>debit</t>
        </is>
      </c>
      <c r="G29" s="6" t="inlineStr">
        <is>
          <t>balance_sheet</t>
        </is>
      </c>
    </row>
    <row r="30">
      <c r="A30" s="6" t="str"/>
      <c r="B30" s="6" t="str"/>
      <c r="C30" s="6" t="str"/>
      <c r="D30" s="6" t="inlineStr">
        <is>
          <t>LOGISTICS EXP.</t>
        </is>
      </c>
      <c r="E30" s="39" t="n">
        <v>16269</v>
      </c>
      <c r="F30" s="6" t="inlineStr">
        <is>
          <t>debit</t>
        </is>
      </c>
      <c r="G30" s="6" t="inlineStr">
        <is>
          <t>balance_sheet</t>
        </is>
      </c>
    </row>
    <row r="31">
      <c r="A31" s="6" t="str"/>
      <c r="B31" s="6" t="str"/>
      <c r="C31" s="6" t="str"/>
      <c r="D31" s="6" t="inlineStr">
        <is>
          <t>PORTER DAILY EXP.</t>
        </is>
      </c>
      <c r="E31" s="39" t="n">
        <v>3396</v>
      </c>
      <c r="F31" s="6" t="inlineStr">
        <is>
          <t>debit</t>
        </is>
      </c>
      <c r="G31" s="6" t="inlineStr">
        <is>
          <t>balance_sheet</t>
        </is>
      </c>
    </row>
    <row r="32">
      <c r="A32" s="6" t="str"/>
      <c r="B32" s="6" t="str"/>
      <c r="C32" s="6" t="str"/>
      <c r="D32" s="6" t="inlineStr">
        <is>
          <t>SELLING &amp; DISTRIBUTION EXP.</t>
        </is>
      </c>
      <c r="E32" s="39" t="n">
        <v>33235.94</v>
      </c>
      <c r="F32" s="6" t="inlineStr">
        <is>
          <t>debit</t>
        </is>
      </c>
      <c r="G32" s="6" t="inlineStr">
        <is>
          <t>balance_sheet</t>
        </is>
      </c>
    </row>
    <row r="34">
      <c r="A34" s="24" t="inlineStr">
        <is>
          <t>G. Sales &amp; Marketing</t>
        </is>
      </c>
      <c r="B34" s="24" t="str"/>
      <c r="C34" s="24" t="str"/>
      <c r="D34" s="24" t="str"/>
      <c r="E34" s="37" t="n">
        <v>2067204.97</v>
      </c>
      <c r="F34" s="24" t="inlineStr">
        <is>
          <t>1 txns</t>
        </is>
      </c>
      <c r="G34" s="24" t="str"/>
    </row>
    <row r="35">
      <c r="A35" s="34" t="str"/>
      <c r="B35" s="38" t="inlineStr">
        <is>
          <t>Advertising &amp; Marketing</t>
        </is>
      </c>
      <c r="C35" s="34" t="str"/>
      <c r="D35" s="34" t="str"/>
      <c r="E35" s="35" t="n">
        <v>2067204.97</v>
      </c>
      <c r="F35" s="34" t="inlineStr">
        <is>
          <t>1 txns</t>
        </is>
      </c>
      <c r="G35" s="34" t="inlineStr">
        <is>
          <t>balance_sheet</t>
        </is>
      </c>
    </row>
    <row r="36">
      <c r="A36" s="6" t="str"/>
      <c r="B36" s="6" t="str"/>
      <c r="C36" s="6" t="str"/>
      <c r="D36" s="6" t="inlineStr">
        <is>
          <t>Advertisement &amp; Publicity</t>
        </is>
      </c>
      <c r="E36" s="39" t="n">
        <v>2067204.97</v>
      </c>
      <c r="F36" s="6" t="inlineStr">
        <is>
          <t>debit</t>
        </is>
      </c>
      <c r="G36" s="6" t="inlineStr">
        <is>
          <t>balance_sheet</t>
        </is>
      </c>
    </row>
    <row r="38">
      <c r="A38" s="24" t="inlineStr">
        <is>
          <t>H. Platform Costs</t>
        </is>
      </c>
      <c r="B38" s="24" t="str"/>
      <c r="C38" s="24" t="str"/>
      <c r="D38" s="24" t="str"/>
      <c r="E38" s="37" t="n">
        <v>98370</v>
      </c>
      <c r="F38" s="24" t="inlineStr">
        <is>
          <t>2 txns</t>
        </is>
      </c>
      <c r="G38" s="24" t="str"/>
    </row>
    <row r="39">
      <c r="A39" s="34" t="str"/>
      <c r="B39" s="38" t="inlineStr">
        <is>
          <t>Shopify Subscription</t>
        </is>
      </c>
      <c r="C39" s="34" t="str"/>
      <c r="D39" s="34" t="str"/>
      <c r="E39" s="35" t="n">
        <v>88370</v>
      </c>
      <c r="F39" s="34" t="inlineStr">
        <is>
          <t>1 txns</t>
        </is>
      </c>
      <c r="G39" s="34" t="inlineStr">
        <is>
          <t>balance_sheet</t>
        </is>
      </c>
    </row>
    <row r="40">
      <c r="A40" s="6" t="str"/>
      <c r="B40" s="6" t="str"/>
      <c r="C40" s="6" t="str"/>
      <c r="D40" s="6" t="inlineStr">
        <is>
          <t>PLATFORM FEE</t>
        </is>
      </c>
      <c r="E40" s="39" t="n">
        <v>88370</v>
      </c>
      <c r="F40" s="6" t="inlineStr">
        <is>
          <t>debit</t>
        </is>
      </c>
      <c r="G40" s="6" t="inlineStr">
        <is>
          <t>balance_sheet</t>
        </is>
      </c>
    </row>
    <row r="41">
      <c r="A41" s="34" t="str"/>
      <c r="B41" s="38" t="inlineStr">
        <is>
          <t>Wati Subscription</t>
        </is>
      </c>
      <c r="C41" s="34" t="str"/>
      <c r="D41" s="34" t="str"/>
      <c r="E41" s="35" t="n">
        <v>10000</v>
      </c>
      <c r="F41" s="34" t="inlineStr">
        <is>
          <t>1 txns</t>
        </is>
      </c>
      <c r="G41" s="34" t="inlineStr">
        <is>
          <t>balance_sheet</t>
        </is>
      </c>
    </row>
    <row r="42">
      <c r="A42" s="6" t="str"/>
      <c r="B42" s="6" t="str"/>
      <c r="C42" s="6" t="str"/>
      <c r="D42" s="6" t="inlineStr">
        <is>
          <t>SOFTWARE UPDATION EXP.</t>
        </is>
      </c>
      <c r="E42" s="39" t="n">
        <v>10000</v>
      </c>
      <c r="F42" s="6" t="inlineStr">
        <is>
          <t>debit</t>
        </is>
      </c>
      <c r="G42" s="6" t="inlineStr">
        <is>
          <t>balance_sheet</t>
        </is>
      </c>
    </row>
    <row r="44">
      <c r="A44" s="24" t="inlineStr">
        <is>
          <t>I. Operating Expenses</t>
        </is>
      </c>
      <c r="B44" s="24" t="str"/>
      <c r="C44" s="24" t="str"/>
      <c r="D44" s="24" t="str"/>
      <c r="E44" s="37" t="n">
        <v>1260413.41</v>
      </c>
      <c r="F44" s="24" t="inlineStr">
        <is>
          <t>26 txns</t>
        </is>
      </c>
      <c r="G44" s="24" t="str"/>
    </row>
    <row r="45">
      <c r="A45" s="34" t="str"/>
      <c r="B45" s="38" t="inlineStr">
        <is>
          <t>Banks &amp; Finance Charges</t>
        </is>
      </c>
      <c r="C45" s="34" t="str"/>
      <c r="D45" s="34" t="str"/>
      <c r="E45" s="35" t="n">
        <v>30048.93</v>
      </c>
      <c r="F45" s="34" t="inlineStr">
        <is>
          <t>2 txns</t>
        </is>
      </c>
      <c r="G45" s="34" t="inlineStr">
        <is>
          <t>balance_sheet</t>
        </is>
      </c>
    </row>
    <row r="46">
      <c r="A46" s="6" t="str"/>
      <c r="B46" s="6" t="str"/>
      <c r="C46" s="6" t="str"/>
      <c r="D46" s="6" t="inlineStr">
        <is>
          <t>Bank Charges@%</t>
        </is>
      </c>
      <c r="E46" s="39" t="n">
        <v>2277.71</v>
      </c>
      <c r="F46" s="6" t="inlineStr">
        <is>
          <t>debit</t>
        </is>
      </c>
      <c r="G46" s="6" t="inlineStr">
        <is>
          <t>balance_sheet</t>
        </is>
      </c>
    </row>
    <row r="47">
      <c r="A47" s="6" t="str"/>
      <c r="B47" s="6" t="str"/>
      <c r="C47" s="6" t="str"/>
      <c r="D47" s="6" t="inlineStr">
        <is>
          <t>PROCESSING FEE</t>
        </is>
      </c>
      <c r="E47" s="39" t="n">
        <v>27771.22</v>
      </c>
      <c r="F47" s="6" t="inlineStr">
        <is>
          <t>debit</t>
        </is>
      </c>
      <c r="G47" s="6" t="inlineStr">
        <is>
          <t>balance_sheet</t>
        </is>
      </c>
    </row>
    <row r="48">
      <c r="A48" s="34" t="str"/>
      <c r="B48" s="38" t="inlineStr">
        <is>
          <t>Other Operating Expenses</t>
        </is>
      </c>
      <c r="C48" s="34" t="str"/>
      <c r="D48" s="34" t="str"/>
      <c r="E48" s="35" t="n">
        <v>36350.61</v>
      </c>
      <c r="F48" s="34" t="inlineStr">
        <is>
          <t>8 txns</t>
        </is>
      </c>
      <c r="G48" s="34" t="inlineStr">
        <is>
          <t>balance_sheet</t>
        </is>
      </c>
    </row>
    <row r="49">
      <c r="A49" s="6" t="str"/>
      <c r="B49" s="6" t="str"/>
      <c r="C49" s="6" t="str"/>
      <c r="D49" s="6" t="inlineStr">
        <is>
          <t>CASH DISCOUNT</t>
        </is>
      </c>
      <c r="E49" s="39" t="n">
        <v>1350</v>
      </c>
      <c r="F49" s="6" t="inlineStr">
        <is>
          <t>debit</t>
        </is>
      </c>
      <c r="G49" s="6" t="inlineStr">
        <is>
          <t>balance_sheet</t>
        </is>
      </c>
    </row>
    <row r="50">
      <c r="A50" s="6" t="str"/>
      <c r="B50" s="6" t="str"/>
      <c r="C50" s="6" t="str"/>
      <c r="D50" s="6" t="inlineStr">
        <is>
          <t>Commission Income</t>
        </is>
      </c>
      <c r="E50" s="39" t="n">
        <v>2630.34</v>
      </c>
      <c r="F50" s="6" t="inlineStr">
        <is>
          <t>debit</t>
        </is>
      </c>
      <c r="G50" s="6" t="inlineStr">
        <is>
          <t>balance_sheet</t>
        </is>
      </c>
    </row>
    <row r="51">
      <c r="A51" s="6" t="str"/>
      <c r="B51" s="6" t="str"/>
      <c r="C51" s="6" t="str"/>
      <c r="D51" s="6" t="inlineStr">
        <is>
          <t>RATE DIFFERENCE</t>
        </is>
      </c>
      <c r="E51" s="39" t="n">
        <v>6600</v>
      </c>
      <c r="F51" s="6" t="inlineStr">
        <is>
          <t>debit</t>
        </is>
      </c>
      <c r="G51" s="6" t="inlineStr">
        <is>
          <t>balance_sheet</t>
        </is>
      </c>
    </row>
    <row r="52">
      <c r="A52" s="6" t="str"/>
      <c r="B52" s="6" t="str"/>
      <c r="C52" s="6" t="str"/>
      <c r="D52" s="6" t="inlineStr">
        <is>
          <t>Return Fee</t>
        </is>
      </c>
      <c r="E52" s="39" t="n">
        <v>350</v>
      </c>
      <c r="F52" s="6" t="inlineStr">
        <is>
          <t>debit</t>
        </is>
      </c>
      <c r="G52" s="6" t="inlineStr">
        <is>
          <t>balance_sheet</t>
        </is>
      </c>
    </row>
    <row r="53">
      <c r="A53" s="6" t="str"/>
      <c r="B53" s="6" t="str"/>
      <c r="C53" s="6" t="str"/>
      <c r="D53" s="6" t="inlineStr">
        <is>
          <t>Rounded Off</t>
        </is>
      </c>
      <c r="E53" s="39" t="n">
        <v>6.97</v>
      </c>
      <c r="F53" s="6" t="inlineStr">
        <is>
          <t>debit</t>
        </is>
      </c>
      <c r="G53" s="6" t="inlineStr">
        <is>
          <t>balance_sheet</t>
        </is>
      </c>
    </row>
    <row r="54">
      <c r="A54" s="6" t="str"/>
      <c r="B54" s="6" t="str"/>
      <c r="C54" s="6" t="str"/>
      <c r="D54" s="6" t="inlineStr">
        <is>
          <t>STANCIL CHARGES</t>
        </is>
      </c>
      <c r="E54" s="39" t="n">
        <v>3500</v>
      </c>
      <c r="F54" s="6" t="inlineStr">
        <is>
          <t>debit</t>
        </is>
      </c>
      <c r="G54" s="6" t="inlineStr">
        <is>
          <t>balance_sheet</t>
        </is>
      </c>
    </row>
    <row r="55">
      <c r="A55" s="6" t="str"/>
      <c r="B55" s="6" t="str"/>
      <c r="C55" s="6" t="str"/>
      <c r="D55" s="6" t="inlineStr">
        <is>
          <t>TRANSPOTATION EXPENSES</t>
        </is>
      </c>
      <c r="E55" s="39" t="n">
        <v>21912</v>
      </c>
      <c r="F55" s="6" t="inlineStr">
        <is>
          <t>debit</t>
        </is>
      </c>
      <c r="G55" s="6" t="inlineStr">
        <is>
          <t>balance_sheet</t>
        </is>
      </c>
    </row>
    <row r="56">
      <c r="A56" s="6" t="str"/>
      <c r="B56" s="6" t="str"/>
      <c r="C56" s="6" t="str"/>
      <c r="D56" s="6" t="inlineStr">
        <is>
          <t>Rounded Off</t>
        </is>
      </c>
      <c r="E56" s="39" t="n">
        <v>1.3</v>
      </c>
      <c r="F56" s="6" t="inlineStr">
        <is>
          <t>debit</t>
        </is>
      </c>
      <c r="G56" s="6" t="inlineStr">
        <is>
          <t>balance_sheet</t>
        </is>
      </c>
    </row>
    <row r="57">
      <c r="A57" s="34" t="str"/>
      <c r="B57" s="38" t="inlineStr">
        <is>
          <t>Administrative Expenses</t>
        </is>
      </c>
      <c r="C57" s="34" t="str"/>
      <c r="D57" s="34" t="str"/>
      <c r="E57" s="35" t="n">
        <v>325216.69</v>
      </c>
      <c r="F57" s="34" t="inlineStr">
        <is>
          <t>9 txns</t>
        </is>
      </c>
      <c r="G57" s="34" t="inlineStr">
        <is>
          <t>balance_sheet</t>
        </is>
      </c>
    </row>
    <row r="58">
      <c r="A58" s="6" t="str"/>
      <c r="B58" s="6" t="str"/>
      <c r="C58" s="6" t="str"/>
      <c r="D58" s="6" t="inlineStr">
        <is>
          <t>COMMUNICATION EXP.</t>
        </is>
      </c>
      <c r="E58" s="39" t="n">
        <v>58654.4</v>
      </c>
      <c r="F58" s="6" t="inlineStr">
        <is>
          <t>debit</t>
        </is>
      </c>
      <c r="G58" s="6" t="inlineStr">
        <is>
          <t>balance_sheet</t>
        </is>
      </c>
    </row>
    <row r="59">
      <c r="A59" s="6" t="str"/>
      <c r="B59" s="6" t="str"/>
      <c r="C59" s="6" t="str"/>
      <c r="D59" s="6" t="inlineStr">
        <is>
          <t>OFFICE EXPENSES</t>
        </is>
      </c>
      <c r="E59" s="39" t="n">
        <v>7717</v>
      </c>
      <c r="F59" s="6" t="inlineStr">
        <is>
          <t>debit</t>
        </is>
      </c>
      <c r="G59" s="6" t="inlineStr">
        <is>
          <t>balance_sheet</t>
        </is>
      </c>
    </row>
    <row r="60">
      <c r="A60" s="6" t="str"/>
      <c r="B60" s="6" t="str"/>
      <c r="C60" s="6" t="str"/>
      <c r="D60" s="6" t="inlineStr">
        <is>
          <t>OFFICE EXPENSES @ %</t>
        </is>
      </c>
      <c r="E60" s="39" t="n">
        <v>4955</v>
      </c>
      <c r="F60" s="6" t="inlineStr">
        <is>
          <t>debit</t>
        </is>
      </c>
      <c r="G60" s="6" t="inlineStr">
        <is>
          <t>balance_sheet</t>
        </is>
      </c>
    </row>
    <row r="61">
      <c r="A61" s="6" t="str"/>
      <c r="B61" s="6" t="str"/>
      <c r="C61" s="6" t="str"/>
      <c r="D61" s="6" t="inlineStr">
        <is>
          <t>Office Rent</t>
        </is>
      </c>
      <c r="E61" s="39" t="n">
        <v>155287</v>
      </c>
      <c r="F61" s="6" t="inlineStr">
        <is>
          <t>debit</t>
        </is>
      </c>
      <c r="G61" s="6" t="inlineStr">
        <is>
          <t>balance_sheet</t>
        </is>
      </c>
    </row>
    <row r="62">
      <c r="A62" s="6" t="str"/>
      <c r="B62" s="6" t="str"/>
      <c r="C62" s="6" t="str"/>
      <c r="D62" s="6" t="inlineStr">
        <is>
          <t>Printing &amp; Stationery@%</t>
        </is>
      </c>
      <c r="E62" s="39" t="n">
        <v>26626.25</v>
      </c>
      <c r="F62" s="6" t="inlineStr">
        <is>
          <t>debit</t>
        </is>
      </c>
      <c r="G62" s="6" t="inlineStr">
        <is>
          <t>balance_sheet</t>
        </is>
      </c>
    </row>
    <row r="63">
      <c r="A63" s="6" t="str"/>
      <c r="B63" s="6" t="str"/>
      <c r="C63" s="6" t="str"/>
      <c r="D63" s="6" t="inlineStr">
        <is>
          <t>PRINTING STATIONERY EXPENSES</t>
        </is>
      </c>
      <c r="E63" s="39" t="n">
        <v>2600</v>
      </c>
      <c r="F63" s="6" t="inlineStr">
        <is>
          <t>debit</t>
        </is>
      </c>
      <c r="G63" s="6" t="inlineStr">
        <is>
          <t>balance_sheet</t>
        </is>
      </c>
    </row>
    <row r="64">
      <c r="A64" s="6" t="str"/>
      <c r="B64" s="6" t="str"/>
      <c r="C64" s="6" t="str"/>
      <c r="D64" s="6" t="inlineStr">
        <is>
          <t>REPAIRE &amp; MAINTENANCE EXPENS</t>
        </is>
      </c>
      <c r="E64" s="39" t="n">
        <v>44600</v>
      </c>
      <c r="F64" s="6" t="inlineStr">
        <is>
          <t>debit</t>
        </is>
      </c>
      <c r="G64" s="6" t="inlineStr">
        <is>
          <t>balance_sheet</t>
        </is>
      </c>
    </row>
    <row r="65">
      <c r="A65" s="6" t="str"/>
      <c r="B65" s="6" t="str"/>
      <c r="C65" s="6" t="str"/>
      <c r="D65" s="6" t="inlineStr">
        <is>
          <t>REPAIRE &amp; MAINTENANCE EXPENS</t>
        </is>
      </c>
      <c r="E65" s="39" t="n">
        <v>9313.83</v>
      </c>
      <c r="F65" s="6" t="inlineStr">
        <is>
          <t>debit</t>
        </is>
      </c>
      <c r="G65" s="6" t="inlineStr">
        <is>
          <t>balance_sheet</t>
        </is>
      </c>
    </row>
    <row r="66">
      <c r="A66" s="6" t="str"/>
      <c r="B66" s="6" t="str"/>
      <c r="C66" s="6" t="str"/>
      <c r="D66" s="6" t="inlineStr">
        <is>
          <t>VEHICAL RUNING MAINTENANCE</t>
        </is>
      </c>
      <c r="E66" s="39" t="n">
        <v>15463.21</v>
      </c>
      <c r="F66" s="6" t="inlineStr">
        <is>
          <t>debit</t>
        </is>
      </c>
      <c r="G66" s="6" t="inlineStr">
        <is>
          <t>balance_sheet</t>
        </is>
      </c>
    </row>
    <row r="67">
      <c r="A67" s="34" t="str"/>
      <c r="B67" s="38" t="inlineStr">
        <is>
          <t>Miscellaneous (Travel, insurance)</t>
        </is>
      </c>
      <c r="C67" s="34" t="str"/>
      <c r="D67" s="34" t="str"/>
      <c r="E67" s="35" t="n">
        <v>5171.18</v>
      </c>
      <c r="F67" s="34" t="inlineStr">
        <is>
          <t>2 txns</t>
        </is>
      </c>
      <c r="G67" s="34" t="inlineStr">
        <is>
          <t>balance_sheet</t>
        </is>
      </c>
    </row>
    <row r="68">
      <c r="A68" s="6" t="str"/>
      <c r="B68" s="6" t="str"/>
      <c r="C68" s="6" t="str"/>
      <c r="D68" s="6" t="inlineStr">
        <is>
          <t>CONVEYANCE &amp; AUTO CHARGE</t>
        </is>
      </c>
      <c r="E68" s="39" t="n">
        <v>982</v>
      </c>
      <c r="F68" s="6" t="inlineStr">
        <is>
          <t>debit</t>
        </is>
      </c>
      <c r="G68" s="6" t="inlineStr">
        <is>
          <t>balance_sheet</t>
        </is>
      </c>
    </row>
    <row r="69">
      <c r="A69" s="6" t="str"/>
      <c r="B69" s="6" t="str"/>
      <c r="C69" s="6" t="str"/>
      <c r="D69" s="6" t="inlineStr">
        <is>
          <t>Miscellaneous Expenses</t>
        </is>
      </c>
      <c r="E69" s="39" t="n">
        <v>4189.18</v>
      </c>
      <c r="F69" s="6" t="inlineStr">
        <is>
          <t>debit</t>
        </is>
      </c>
      <c r="G69" s="6" t="inlineStr">
        <is>
          <t>balance_sheet</t>
        </is>
      </c>
    </row>
    <row r="70">
      <c r="A70" s="34" t="str"/>
      <c r="B70" s="38" t="inlineStr">
        <is>
          <t>Staff Welfare &amp; Events</t>
        </is>
      </c>
      <c r="C70" s="34" t="str"/>
      <c r="D70" s="34" t="str"/>
      <c r="E70" s="35" t="n">
        <v>12606</v>
      </c>
      <c r="F70" s="34" t="inlineStr">
        <is>
          <t>2 txns</t>
        </is>
      </c>
      <c r="G70" s="34" t="inlineStr">
        <is>
          <t>balance_sheet</t>
        </is>
      </c>
    </row>
    <row r="71">
      <c r="A71" s="6" t="str"/>
      <c r="B71" s="6" t="str"/>
      <c r="C71" s="6" t="str"/>
      <c r="D71" s="6" t="inlineStr">
        <is>
          <t>DIWALI EXP. @ %</t>
        </is>
      </c>
      <c r="E71" s="39" t="n">
        <v>1832</v>
      </c>
      <c r="F71" s="6" t="inlineStr">
        <is>
          <t>debit</t>
        </is>
      </c>
      <c r="G71" s="6" t="inlineStr">
        <is>
          <t>balance_sheet</t>
        </is>
      </c>
    </row>
    <row r="72">
      <c r="A72" s="6" t="str"/>
      <c r="B72" s="6" t="str"/>
      <c r="C72" s="6" t="str"/>
      <c r="D72" s="6" t="inlineStr">
        <is>
          <t>STAFF WELFARE EXPENSES</t>
        </is>
      </c>
      <c r="E72" s="39" t="n">
        <v>10774</v>
      </c>
      <c r="F72" s="6" t="inlineStr">
        <is>
          <t>debit</t>
        </is>
      </c>
      <c r="G72" s="6" t="inlineStr">
        <is>
          <t>balance_sheet</t>
        </is>
      </c>
    </row>
    <row r="73">
      <c r="A73" s="34" t="str"/>
      <c r="B73" s="38" t="inlineStr">
        <is>
          <t>Salaries (Admin Mgmt)</t>
        </is>
      </c>
      <c r="C73" s="34" t="str"/>
      <c r="D73" s="34" t="str"/>
      <c r="E73" s="35" t="n">
        <v>777720</v>
      </c>
      <c r="F73" s="34" t="inlineStr">
        <is>
          <t>2 txns</t>
        </is>
      </c>
      <c r="G73" s="34" t="inlineStr">
        <is>
          <t>balance_sheet</t>
        </is>
      </c>
    </row>
    <row r="74">
      <c r="A74" s="6" t="str"/>
      <c r="B74" s="6" t="str"/>
      <c r="C74" s="6" t="str"/>
      <c r="D74" s="6" t="inlineStr">
        <is>
          <t>ESI EMPLOYER CONTRIBUTTION E</t>
        </is>
      </c>
      <c r="E74" s="39" t="n">
        <v>2777</v>
      </c>
      <c r="F74" s="6" t="inlineStr">
        <is>
          <t>debit</t>
        </is>
      </c>
      <c r="G74" s="6" t="inlineStr">
        <is>
          <t>balance_sheet</t>
        </is>
      </c>
    </row>
    <row r="75">
      <c r="A75" s="6" t="str"/>
      <c r="B75" s="6" t="str"/>
      <c r="C75" s="6" t="str"/>
      <c r="D75" s="6" t="inlineStr">
        <is>
          <t>Salary Expenses</t>
        </is>
      </c>
      <c r="E75" s="39" t="n">
        <v>774943</v>
      </c>
      <c r="F75" s="6" t="inlineStr">
        <is>
          <t>debit</t>
        </is>
      </c>
      <c r="G75" s="6" t="inlineStr">
        <is>
          <t>balance_sheet</t>
        </is>
      </c>
    </row>
    <row r="76">
      <c r="A76" s="34" t="str"/>
      <c r="B76" s="38" t="inlineStr">
        <is>
          <t>Legal &amp; CA expenses</t>
        </is>
      </c>
      <c r="C76" s="34" t="str"/>
      <c r="D76" s="34" t="str"/>
      <c r="E76" s="35" t="n">
        <v>73300</v>
      </c>
      <c r="F76" s="34" t="inlineStr">
        <is>
          <t>1 txns</t>
        </is>
      </c>
      <c r="G76" s="34" t="inlineStr">
        <is>
          <t>balance_sheet</t>
        </is>
      </c>
    </row>
    <row r="77">
      <c r="A77" s="6" t="str"/>
      <c r="B77" s="6" t="str"/>
      <c r="C77" s="6" t="str"/>
      <c r="D77" s="6" t="inlineStr">
        <is>
          <t>LEGAL &amp; PROFESSIONAL EXPENS</t>
        </is>
      </c>
      <c r="E77" s="39" t="n">
        <v>73300</v>
      </c>
      <c r="F77" s="6" t="inlineStr">
        <is>
          <t>debit</t>
        </is>
      </c>
      <c r="G77" s="6" t="inlineStr">
        <is>
          <t>balance_sheet</t>
        </is>
      </c>
    </row>
    <row r="79">
      <c r="A79" s="24" t="inlineStr">
        <is>
          <t>J. Non-Operating</t>
        </is>
      </c>
      <c r="B79" s="24" t="str"/>
      <c r="C79" s="24" t="str"/>
      <c r="D79" s="24" t="str"/>
      <c r="E79" s="37" t="n">
        <v>31360</v>
      </c>
      <c r="F79" s="24" t="inlineStr">
        <is>
          <t>1 txns</t>
        </is>
      </c>
      <c r="G79" s="24" t="str"/>
    </row>
    <row r="80">
      <c r="A80" s="34" t="str"/>
      <c r="B80" s="38" t="inlineStr">
        <is>
          <t>Less: Interest Expense</t>
        </is>
      </c>
      <c r="C80" s="34" t="str"/>
      <c r="D80" s="34" t="str"/>
      <c r="E80" s="35" t="n">
        <v>31360</v>
      </c>
      <c r="F80" s="34" t="inlineStr">
        <is>
          <t>1 txns</t>
        </is>
      </c>
      <c r="G80" s="34" t="inlineStr">
        <is>
          <t>balance_sheet</t>
        </is>
      </c>
    </row>
    <row r="81">
      <c r="A81" s="6" t="str"/>
      <c r="B81" s="6" t="str"/>
      <c r="C81" s="6" t="str"/>
      <c r="D81" s="6" t="inlineStr">
        <is>
          <t>INTEREST ON OD LIMIT</t>
        </is>
      </c>
      <c r="E81" s="39" t="n">
        <v>31360</v>
      </c>
      <c r="F81" s="6" t="inlineStr">
        <is>
          <t>debit</t>
        </is>
      </c>
      <c r="G81" s="6" t="inlineStr">
        <is>
          <t>balance_sheet</t>
        </is>
      </c>
    </row>
  </sheetData>
  <mergeCells count="1">
    <mergeCell ref="A1:G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cols>
    <col width="25.83203125" customWidth="1" style="2" min="1" max="1"/>
    <col width="30.83203125" customWidth="1" style="2" min="2" max="2"/>
    <col width="12.83203125" customWidth="1" style="2" min="3" max="3"/>
    <col width="45.83203125" customWidth="1" style="2" min="4" max="4"/>
    <col width="15.83203125" customWidth="1" style="2" min="5" max="5"/>
    <col width="10.83203125" customWidth="1" style="2" min="6" max="6"/>
    <col width="15.83203125" customWidth="1" style="2" min="7" max="7"/>
  </cols>
  <sheetData>
    <row r="1">
      <c r="A1" s="40" t="inlineStr">
        <is>
          <t>Nov 2025 - TRANSACTION DETAILS</t>
        </is>
      </c>
    </row>
    <row r="3">
      <c r="A3" s="5" t="inlineStr">
        <is>
          <t>Head</t>
        </is>
      </c>
      <c r="B3" s="5" t="inlineStr">
        <is>
          <t>Subhead</t>
        </is>
      </c>
      <c r="C3" s="5" t="inlineStr">
        <is>
          <t>Date</t>
        </is>
      </c>
      <c r="D3" s="5" t="inlineStr">
        <is>
          <t>Account</t>
        </is>
      </c>
      <c r="E3" s="5" t="inlineStr">
        <is>
          <t>Amount (₹)</t>
        </is>
      </c>
      <c r="F3" s="5" t="inlineStr">
        <is>
          <t>Type</t>
        </is>
      </c>
      <c r="G3" s="5" t="inlineStr">
        <is>
          <t>Source</t>
        </is>
      </c>
    </row>
    <row r="4">
      <c r="A4" s="24" t="inlineStr">
        <is>
          <t>E. COGM</t>
        </is>
      </c>
      <c r="B4" s="24" t="str"/>
      <c r="C4" s="24" t="str"/>
      <c r="D4" s="24" t="str"/>
      <c r="E4" s="37" t="n">
        <v>336183.49</v>
      </c>
      <c r="F4" s="24" t="inlineStr">
        <is>
          <t>4 txns</t>
        </is>
      </c>
      <c r="G4" s="24" t="str"/>
    </row>
    <row r="5">
      <c r="A5" s="34" t="str"/>
      <c r="B5" s="38" t="inlineStr">
        <is>
          <t>Raw Materials &amp; Inventory</t>
        </is>
      </c>
      <c r="C5" s="34" t="str"/>
      <c r="D5" s="34" t="str"/>
      <c r="E5" s="35" t="n">
        <v>2793902.17</v>
      </c>
      <c r="F5" s="34" t="inlineStr">
        <is>
          <t>1 txns</t>
        </is>
      </c>
      <c r="G5" s="34" t="inlineStr">
        <is>
          <t>calculated</t>
        </is>
      </c>
    </row>
    <row r="6">
      <c r="A6" s="6" t="str"/>
      <c r="B6" s="6" t="str"/>
      <c r="C6" s="6" t="str"/>
      <c r="D6" s="6" t="inlineStr">
        <is>
          <t>Raw Materials (Prorated by Revenue)</t>
        </is>
      </c>
      <c r="E6" s="39" t="n">
        <v>2793902.17</v>
      </c>
      <c r="F6" s="6" t="inlineStr">
        <is>
          <t>debit</t>
        </is>
      </c>
      <c r="G6" s="6" t="inlineStr">
        <is>
          <t>calculated</t>
        </is>
      </c>
    </row>
    <row r="7">
      <c r="A7" s="34" t="str"/>
      <c r="B7" s="38" t="inlineStr">
        <is>
          <t>Factory Maintenance</t>
        </is>
      </c>
      <c r="C7" s="34" t="str"/>
      <c r="D7" s="34" t="str"/>
      <c r="E7" s="35" t="n">
        <v>32959</v>
      </c>
      <c r="F7" s="34" t="inlineStr">
        <is>
          <t>2 txns</t>
        </is>
      </c>
      <c r="G7" s="34" t="inlineStr">
        <is>
          <t>balance_sheet</t>
        </is>
      </c>
    </row>
    <row r="8">
      <c r="A8" s="6" t="str"/>
      <c r="B8" s="6" t="str"/>
      <c r="C8" s="6" t="str"/>
      <c r="D8" s="6" t="inlineStr">
        <is>
          <t>Electricity &amp; Water Expenses</t>
        </is>
      </c>
      <c r="E8" s="39" t="n">
        <v>13959</v>
      </c>
      <c r="F8" s="6" t="inlineStr">
        <is>
          <t>debit</t>
        </is>
      </c>
      <c r="G8" s="6" t="inlineStr">
        <is>
          <t>balance_sheet</t>
        </is>
      </c>
    </row>
    <row r="9">
      <c r="A9" s="6" t="str"/>
      <c r="B9" s="6" t="str"/>
      <c r="C9" s="6" t="str"/>
      <c r="D9" s="6" t="inlineStr">
        <is>
          <t>POWER BACKUP &amp; MAITENANCE (D</t>
        </is>
      </c>
      <c r="E9" s="39" t="n">
        <v>19000</v>
      </c>
      <c r="F9" s="6" t="inlineStr">
        <is>
          <t>debit</t>
        </is>
      </c>
      <c r="G9" s="6" t="inlineStr">
        <is>
          <t>balance_sheet</t>
        </is>
      </c>
    </row>
    <row r="10">
      <c r="A10" s="34" t="str"/>
      <c r="B10" s="38" t="inlineStr">
        <is>
          <t>Inbound Transport</t>
        </is>
      </c>
      <c r="C10" s="34" t="str"/>
      <c r="D10" s="34" t="str"/>
      <c r="E10" s="35" t="n">
        <v>181164.99</v>
      </c>
      <c r="F10" s="34" t="inlineStr">
        <is>
          <t>1 txns</t>
        </is>
      </c>
      <c r="G10" s="34" t="inlineStr">
        <is>
          <t>balance_sheet</t>
        </is>
      </c>
    </row>
    <row r="11">
      <c r="A11" s="6" t="str"/>
      <c r="B11" s="6" t="str"/>
      <c r="C11" s="6" t="str"/>
      <c r="D11" s="6" t="inlineStr">
        <is>
          <t>FREIGHT CHARES @%</t>
        </is>
      </c>
      <c r="E11" s="39" t="n">
        <v>181164.99</v>
      </c>
      <c r="F11" s="6" t="inlineStr">
        <is>
          <t>debit</t>
        </is>
      </c>
      <c r="G11" s="6" t="inlineStr">
        <is>
          <t>balance_sheet</t>
        </is>
      </c>
    </row>
    <row r="12">
      <c r="A12" s="34" t="str"/>
      <c r="B12" s="38" t="inlineStr">
        <is>
          <t>Job work</t>
        </is>
      </c>
      <c r="C12" s="34" t="str"/>
      <c r="D12" s="34" t="str"/>
      <c r="E12" s="35" t="n">
        <v>122059.5</v>
      </c>
      <c r="F12" s="34" t="inlineStr">
        <is>
          <t>1 txns</t>
        </is>
      </c>
      <c r="G12" s="34" t="inlineStr">
        <is>
          <t>balance_sheet</t>
        </is>
      </c>
    </row>
    <row r="13">
      <c r="A13" s="6" t="str"/>
      <c r="B13" s="6" t="str"/>
      <c r="C13" s="6" t="str"/>
      <c r="D13" s="6" t="inlineStr">
        <is>
          <t>JOB WORK @%</t>
        </is>
      </c>
      <c r="E13" s="39" t="n">
        <v>122059.5</v>
      </c>
      <c r="F13" s="6" t="inlineStr">
        <is>
          <t>debit</t>
        </is>
      </c>
      <c r="G13" s="6" t="inlineStr">
        <is>
          <t>balance_sheet</t>
        </is>
      </c>
    </row>
    <row r="15">
      <c r="A15" s="24" t="inlineStr">
        <is>
          <t>F. Channel &amp; Fulfillment</t>
        </is>
      </c>
      <c r="B15" s="24" t="str"/>
      <c r="C15" s="24" t="str"/>
      <c r="D15" s="24" t="str"/>
      <c r="E15" s="37" t="n">
        <v>669409.38</v>
      </c>
      <c r="F15" s="24" t="inlineStr">
        <is>
          <t>12 txns</t>
        </is>
      </c>
      <c r="G15" s="24" t="str"/>
    </row>
    <row r="16">
      <c r="A16" s="34" t="str"/>
      <c r="B16" s="38" t="inlineStr">
        <is>
          <t>Amazon Fees</t>
        </is>
      </c>
      <c r="C16" s="34" t="str"/>
      <c r="D16" s="34" t="str"/>
      <c r="E16" s="35" t="n">
        <v>580310.11</v>
      </c>
      <c r="F16" s="34" t="inlineStr">
        <is>
          <t>7 txns</t>
        </is>
      </c>
      <c r="G16" s="34" t="inlineStr">
        <is>
          <t>balance_sheet</t>
        </is>
      </c>
    </row>
    <row r="17">
      <c r="A17" s="6" t="str"/>
      <c r="B17" s="6" t="str"/>
      <c r="C17" s="6" t="str"/>
      <c r="D17" s="6" t="inlineStr">
        <is>
          <t>AMAZON LOGISTICS EXP.</t>
        </is>
      </c>
      <c r="E17" s="39" t="n">
        <v>173027.39</v>
      </c>
      <c r="F17" s="6" t="inlineStr">
        <is>
          <t>debit</t>
        </is>
      </c>
      <c r="G17" s="6" t="inlineStr">
        <is>
          <t>balance_sheet</t>
        </is>
      </c>
    </row>
    <row r="18">
      <c r="A18" s="6" t="str"/>
      <c r="B18" s="6" t="str"/>
      <c r="C18" s="6" t="str"/>
      <c r="D18" s="6" t="inlineStr">
        <is>
          <t>SHIPPING FEE</t>
        </is>
      </c>
      <c r="E18" s="39" t="n">
        <v>23850</v>
      </c>
      <c r="F18" s="6" t="inlineStr">
        <is>
          <t>debit</t>
        </is>
      </c>
      <c r="G18" s="6" t="inlineStr">
        <is>
          <t>balance_sheet</t>
        </is>
      </c>
    </row>
    <row r="19">
      <c r="A19" s="6" t="str"/>
      <c r="B19" s="6" t="str"/>
      <c r="C19" s="6" t="str"/>
      <c r="D19" s="6" t="inlineStr">
        <is>
          <t>Storage Fee</t>
        </is>
      </c>
      <c r="E19" s="39" t="n">
        <v>55115.07</v>
      </c>
      <c r="F19" s="6" t="inlineStr">
        <is>
          <t>debit</t>
        </is>
      </c>
      <c r="G19" s="6" t="inlineStr">
        <is>
          <t>balance_sheet</t>
        </is>
      </c>
    </row>
    <row r="20">
      <c r="A20" s="6" t="str"/>
      <c r="B20" s="6" t="str"/>
      <c r="C20" s="6" t="str"/>
      <c r="D20" s="6" t="inlineStr">
        <is>
          <t>AMAZON LOGISTICS EXP.</t>
        </is>
      </c>
      <c r="E20" s="39" t="n">
        <v>135458.3</v>
      </c>
      <c r="F20" s="6" t="inlineStr">
        <is>
          <t>debit</t>
        </is>
      </c>
      <c r="G20" s="6" t="inlineStr">
        <is>
          <t>balance_sheet</t>
        </is>
      </c>
    </row>
    <row r="21">
      <c r="A21" s="6" t="str"/>
      <c r="B21" s="6" t="str"/>
      <c r="C21" s="6" t="str"/>
      <c r="D21" s="6" t="inlineStr">
        <is>
          <t>AMAZON LOGISCTICS EXP.</t>
        </is>
      </c>
      <c r="E21" s="39" t="n">
        <v>35298.63</v>
      </c>
      <c r="F21" s="6" t="inlineStr">
        <is>
          <t>debit</t>
        </is>
      </c>
      <c r="G21" s="6" t="inlineStr">
        <is>
          <t>balance_sheet</t>
        </is>
      </c>
    </row>
    <row r="22">
      <c r="A22" s="6" t="str"/>
      <c r="B22" s="6" t="str"/>
      <c r="C22" s="6" t="str"/>
      <c r="D22" s="6" t="inlineStr">
        <is>
          <t>AMAZON LOGISCTICS EXP.</t>
        </is>
      </c>
      <c r="E22" s="39" t="n">
        <v>139227.86</v>
      </c>
      <c r="F22" s="6" t="inlineStr">
        <is>
          <t>debit</t>
        </is>
      </c>
      <c r="G22" s="6" t="inlineStr">
        <is>
          <t>balance_sheet</t>
        </is>
      </c>
    </row>
    <row r="23">
      <c r="A23" s="6" t="str"/>
      <c r="B23" s="6" t="str"/>
      <c r="C23" s="6" t="str"/>
      <c r="D23" s="6" t="inlineStr">
        <is>
          <t>AMAZON LOGISCTICS EXP.</t>
        </is>
      </c>
      <c r="E23" s="39" t="n">
        <v>18332.86</v>
      </c>
      <c r="F23" s="6" t="inlineStr">
        <is>
          <t>debit</t>
        </is>
      </c>
      <c r="G23" s="6" t="inlineStr">
        <is>
          <t>balance_sheet</t>
        </is>
      </c>
    </row>
    <row r="24">
      <c r="A24" s="34" t="str"/>
      <c r="B24" s="38" t="inlineStr">
        <is>
          <t>D2C Fees</t>
        </is>
      </c>
      <c r="C24" s="34" t="str"/>
      <c r="D24" s="34" t="str"/>
      <c r="E24" s="35" t="n">
        <v>89099.27</v>
      </c>
      <c r="F24" s="34" t="inlineStr">
        <is>
          <t>5 txns</t>
        </is>
      </c>
      <c r="G24" s="34" t="inlineStr">
        <is>
          <t>balance_sheet</t>
        </is>
      </c>
    </row>
    <row r="25">
      <c r="A25" s="6" t="str"/>
      <c r="B25" s="6" t="str"/>
      <c r="C25" s="6" t="str"/>
      <c r="D25" s="6" t="inlineStr">
        <is>
          <t>COURIER &amp; POSTAGE EXPENSE</t>
        </is>
      </c>
      <c r="E25" s="39" t="n">
        <v>5388</v>
      </c>
      <c r="F25" s="6" t="inlineStr">
        <is>
          <t>debit</t>
        </is>
      </c>
      <c r="G25" s="6" t="inlineStr">
        <is>
          <t>balance_sheet</t>
        </is>
      </c>
    </row>
    <row r="26">
      <c r="A26" s="6" t="str"/>
      <c r="B26" s="6" t="str"/>
      <c r="C26" s="6" t="str"/>
      <c r="D26" s="6" t="inlineStr">
        <is>
          <t>FREIGHT CHARGE@%</t>
        </is>
      </c>
      <c r="E26" s="39" t="n">
        <v>32508</v>
      </c>
      <c r="F26" s="6" t="inlineStr">
        <is>
          <t>debit</t>
        </is>
      </c>
      <c r="G26" s="6" t="inlineStr">
        <is>
          <t>balance_sheet</t>
        </is>
      </c>
    </row>
    <row r="27">
      <c r="A27" s="6" t="str"/>
      <c r="B27" s="6" t="str"/>
      <c r="C27" s="6" t="str"/>
      <c r="D27" s="6" t="inlineStr">
        <is>
          <t>LOGISTICS EXP.</t>
        </is>
      </c>
      <c r="E27" s="39" t="n">
        <v>-40.83</v>
      </c>
      <c r="F27" s="6" t="inlineStr">
        <is>
          <t>debit</t>
        </is>
      </c>
      <c r="G27" s="6" t="inlineStr">
        <is>
          <t>balance_sheet</t>
        </is>
      </c>
    </row>
    <row r="28">
      <c r="A28" s="6" t="str"/>
      <c r="B28" s="6" t="str"/>
      <c r="C28" s="6" t="str"/>
      <c r="D28" s="6" t="inlineStr">
        <is>
          <t>PORTER DAILY EXP.</t>
        </is>
      </c>
      <c r="E28" s="39" t="n">
        <v>18981</v>
      </c>
      <c r="F28" s="6" t="inlineStr">
        <is>
          <t>debit</t>
        </is>
      </c>
      <c r="G28" s="6" t="inlineStr">
        <is>
          <t>balance_sheet</t>
        </is>
      </c>
    </row>
    <row r="29">
      <c r="A29" s="6" t="str"/>
      <c r="B29" s="6" t="str"/>
      <c r="C29" s="6" t="str"/>
      <c r="D29" s="6" t="inlineStr">
        <is>
          <t>SELLING &amp; DISTRIBUTION EXP.</t>
        </is>
      </c>
      <c r="E29" s="39" t="n">
        <v>32263.1</v>
      </c>
      <c r="F29" s="6" t="inlineStr">
        <is>
          <t>debit</t>
        </is>
      </c>
      <c r="G29" s="6" t="inlineStr">
        <is>
          <t>balance_sheet</t>
        </is>
      </c>
    </row>
    <row r="31">
      <c r="A31" s="24" t="inlineStr">
        <is>
          <t>G. Sales &amp; Marketing</t>
        </is>
      </c>
      <c r="B31" s="24" t="str"/>
      <c r="C31" s="24" t="str"/>
      <c r="D31" s="24" t="str"/>
      <c r="E31" s="37" t="n">
        <v>1890185.84</v>
      </c>
      <c r="F31" s="24" t="inlineStr">
        <is>
          <t>2 txns</t>
        </is>
      </c>
      <c r="G31" s="24" t="str"/>
    </row>
    <row r="32">
      <c r="A32" s="34" t="str"/>
      <c r="B32" s="38" t="inlineStr">
        <is>
          <t>Advertising &amp; Marketing</t>
        </is>
      </c>
      <c r="C32" s="34" t="str"/>
      <c r="D32" s="34" t="str"/>
      <c r="E32" s="35" t="n">
        <v>1890185.84</v>
      </c>
      <c r="F32" s="34" t="inlineStr">
        <is>
          <t>2 txns</t>
        </is>
      </c>
      <c r="G32" s="34" t="inlineStr">
        <is>
          <t>balance_sheet</t>
        </is>
      </c>
    </row>
    <row r="33">
      <c r="A33" s="6" t="str"/>
      <c r="B33" s="6" t="str"/>
      <c r="C33" s="6" t="str"/>
      <c r="D33" s="6" t="inlineStr">
        <is>
          <t>Advertisement &amp; Publicity</t>
        </is>
      </c>
      <c r="E33" s="39" t="n">
        <v>1845185.84</v>
      </c>
      <c r="F33" s="6" t="inlineStr">
        <is>
          <t>debit</t>
        </is>
      </c>
      <c r="G33" s="6" t="inlineStr">
        <is>
          <t>balance_sheet</t>
        </is>
      </c>
    </row>
    <row r="34">
      <c r="A34" s="6" t="str"/>
      <c r="B34" s="6" t="str"/>
      <c r="C34" s="6" t="str"/>
      <c r="D34" s="6" t="inlineStr">
        <is>
          <t>SOCIAL MEDIA MARKETING CHARG</t>
        </is>
      </c>
      <c r="E34" s="39" t="n">
        <v>45000</v>
      </c>
      <c r="F34" s="6" t="inlineStr">
        <is>
          <t>debit</t>
        </is>
      </c>
      <c r="G34" s="6" t="inlineStr">
        <is>
          <t>balance_sheet</t>
        </is>
      </c>
    </row>
    <row r="36">
      <c r="A36" s="24" t="inlineStr">
        <is>
          <t>H. Platform Costs</t>
        </is>
      </c>
      <c r="B36" s="24" t="str"/>
      <c r="C36" s="24" t="str"/>
      <c r="D36" s="24" t="str"/>
      <c r="E36" s="37" t="n">
        <v>145323.42</v>
      </c>
      <c r="F36" s="24" t="inlineStr">
        <is>
          <t>2 txns</t>
        </is>
      </c>
      <c r="G36" s="24" t="str"/>
    </row>
    <row r="37">
      <c r="A37" s="34" t="str"/>
      <c r="B37" s="38" t="inlineStr">
        <is>
          <t>Shopify Subscription</t>
        </is>
      </c>
      <c r="C37" s="34" t="str"/>
      <c r="D37" s="34" t="str"/>
      <c r="E37" s="35" t="n">
        <v>13323.42</v>
      </c>
      <c r="F37" s="34" t="inlineStr">
        <is>
          <t>1 txns</t>
        </is>
      </c>
      <c r="G37" s="34" t="inlineStr">
        <is>
          <t>balance_sheet</t>
        </is>
      </c>
    </row>
    <row r="38">
      <c r="A38" s="6" t="str"/>
      <c r="B38" s="6" t="str"/>
      <c r="C38" s="6" t="str"/>
      <c r="D38" s="6" t="inlineStr">
        <is>
          <t>PLATFORM FEE</t>
        </is>
      </c>
      <c r="E38" s="39" t="n">
        <v>13323.42</v>
      </c>
      <c r="F38" s="6" t="inlineStr">
        <is>
          <t>debit</t>
        </is>
      </c>
      <c r="G38" s="6" t="inlineStr">
        <is>
          <t>balance_sheet</t>
        </is>
      </c>
    </row>
    <row r="39">
      <c r="A39" s="34" t="str"/>
      <c r="B39" s="38" t="inlineStr">
        <is>
          <t>Wati Subscription</t>
        </is>
      </c>
      <c r="C39" s="34" t="str"/>
      <c r="D39" s="34" t="str"/>
      <c r="E39" s="35" t="n">
        <v>132000</v>
      </c>
      <c r="F39" s="34" t="inlineStr">
        <is>
          <t>1 txns</t>
        </is>
      </c>
      <c r="G39" s="34" t="inlineStr">
        <is>
          <t>balance_sheet</t>
        </is>
      </c>
    </row>
    <row r="40">
      <c r="A40" s="6" t="str"/>
      <c r="B40" s="6" t="str"/>
      <c r="C40" s="6" t="str"/>
      <c r="D40" s="6" t="inlineStr">
        <is>
          <t>SOFTWARE UPDATION EXP.</t>
        </is>
      </c>
      <c r="E40" s="39" t="n">
        <v>132000</v>
      </c>
      <c r="F40" s="6" t="inlineStr">
        <is>
          <t>debit</t>
        </is>
      </c>
      <c r="G40" s="6" t="inlineStr">
        <is>
          <t>balance_sheet</t>
        </is>
      </c>
    </row>
    <row r="42">
      <c r="A42" s="24" t="inlineStr">
        <is>
          <t>I. Operating Expenses</t>
        </is>
      </c>
      <c r="B42" s="24" t="str"/>
      <c r="C42" s="24" t="str"/>
      <c r="D42" s="24" t="str"/>
      <c r="E42" s="37" t="n">
        <v>1092674.66</v>
      </c>
      <c r="F42" s="24" t="inlineStr">
        <is>
          <t>25 txns</t>
        </is>
      </c>
      <c r="G42" s="24" t="str"/>
    </row>
    <row r="43">
      <c r="A43" s="34" t="str"/>
      <c r="B43" s="38" t="inlineStr">
        <is>
          <t>Other Operating Expenses</t>
        </is>
      </c>
      <c r="C43" s="34" t="str"/>
      <c r="D43" s="34" t="str"/>
      <c r="E43" s="35" t="n">
        <v>71221.17</v>
      </c>
      <c r="F43" s="34" t="inlineStr">
        <is>
          <t>11 txns</t>
        </is>
      </c>
      <c r="G43" s="34" t="inlineStr">
        <is>
          <t>balance_sheet</t>
        </is>
      </c>
    </row>
    <row r="44">
      <c r="A44" s="6" t="str"/>
      <c r="B44" s="6" t="str"/>
      <c r="C44" s="6" t="str"/>
      <c r="D44" s="6" t="inlineStr">
        <is>
          <t>AVANISH KUMAR (EXP. A/C)</t>
        </is>
      </c>
      <c r="E44" s="39" t="n">
        <v>-6489</v>
      </c>
      <c r="F44" s="6" t="inlineStr">
        <is>
          <t>debit</t>
        </is>
      </c>
      <c r="G44" s="6" t="inlineStr">
        <is>
          <t>balance_sheet</t>
        </is>
      </c>
    </row>
    <row r="45">
      <c r="A45" s="6" t="str"/>
      <c r="B45" s="6" t="str"/>
      <c r="C45" s="6" t="str"/>
      <c r="D45" s="6" t="inlineStr">
        <is>
          <t>Commission Income</t>
        </is>
      </c>
      <c r="E45" s="39" t="n">
        <v>5730.88</v>
      </c>
      <c r="F45" s="6" t="inlineStr">
        <is>
          <t>debit</t>
        </is>
      </c>
      <c r="G45" s="6" t="inlineStr">
        <is>
          <t>balance_sheet</t>
        </is>
      </c>
    </row>
    <row r="46">
      <c r="A46" s="6" t="str"/>
      <c r="B46" s="6" t="str"/>
      <c r="C46" s="6" t="str"/>
      <c r="D46" s="6" t="inlineStr">
        <is>
          <t>LAB TESTING CHARGES</t>
        </is>
      </c>
      <c r="E46" s="39" t="n">
        <v>10800</v>
      </c>
      <c r="F46" s="6" t="inlineStr">
        <is>
          <t>debit</t>
        </is>
      </c>
      <c r="G46" s="6" t="inlineStr">
        <is>
          <t>balance_sheet</t>
        </is>
      </c>
    </row>
    <row r="47">
      <c r="A47" s="6" t="str"/>
      <c r="B47" s="6" t="str"/>
      <c r="C47" s="6" t="str"/>
      <c r="D47" s="6" t="inlineStr">
        <is>
          <t>PRABHASH EXP. A/C</t>
        </is>
      </c>
      <c r="E47" s="39" t="n">
        <v>25000</v>
      </c>
      <c r="F47" s="6" t="inlineStr">
        <is>
          <t>debit</t>
        </is>
      </c>
      <c r="G47" s="6" t="inlineStr">
        <is>
          <t>balance_sheet</t>
        </is>
      </c>
    </row>
    <row r="48">
      <c r="A48" s="6" t="str"/>
      <c r="B48" s="6" t="str"/>
      <c r="C48" s="6" t="str"/>
      <c r="D48" s="6" t="inlineStr">
        <is>
          <t>RATE DIFFERENCE</t>
        </is>
      </c>
      <c r="E48" s="39" t="n">
        <v>15280</v>
      </c>
      <c r="F48" s="6" t="inlineStr">
        <is>
          <t>debit</t>
        </is>
      </c>
      <c r="G48" s="6" t="inlineStr">
        <is>
          <t>balance_sheet</t>
        </is>
      </c>
    </row>
    <row r="49">
      <c r="A49" s="6" t="str"/>
      <c r="B49" s="6" t="str"/>
      <c r="C49" s="6" t="str"/>
      <c r="D49" s="6" t="inlineStr">
        <is>
          <t>Return Fee</t>
        </is>
      </c>
      <c r="E49" s="39" t="n">
        <v>500</v>
      </c>
      <c r="F49" s="6" t="inlineStr">
        <is>
          <t>debit</t>
        </is>
      </c>
      <c r="G49" s="6" t="inlineStr">
        <is>
          <t>balance_sheet</t>
        </is>
      </c>
    </row>
    <row r="50">
      <c r="A50" s="6" t="str"/>
      <c r="B50" s="6" t="str"/>
      <c r="C50" s="6" t="str"/>
      <c r="D50" s="6" t="inlineStr">
        <is>
          <t>Rounded Off</t>
        </is>
      </c>
      <c r="E50" s="39" t="n">
        <v>-0.61</v>
      </c>
      <c r="F50" s="6" t="inlineStr">
        <is>
          <t>debit</t>
        </is>
      </c>
      <c r="G50" s="6" t="inlineStr">
        <is>
          <t>balance_sheet</t>
        </is>
      </c>
    </row>
    <row r="51">
      <c r="A51" s="6" t="str"/>
      <c r="B51" s="6" t="str"/>
      <c r="C51" s="6" t="str"/>
      <c r="D51" s="6" t="inlineStr">
        <is>
          <t>TRANSPOTATION EXPENSES</t>
        </is>
      </c>
      <c r="E51" s="39" t="n">
        <v>20400</v>
      </c>
      <c r="F51" s="6" t="inlineStr">
        <is>
          <t>debit</t>
        </is>
      </c>
      <c r="G51" s="6" t="inlineStr">
        <is>
          <t>balance_sheet</t>
        </is>
      </c>
    </row>
    <row r="52">
      <c r="A52" s="6" t="str"/>
      <c r="B52" s="6" t="str"/>
      <c r="C52" s="6" t="str"/>
      <c r="D52" s="6" t="inlineStr">
        <is>
          <t>Rounded Off</t>
        </is>
      </c>
      <c r="E52" s="39" t="n">
        <v>2.51</v>
      </c>
      <c r="F52" s="6" t="inlineStr">
        <is>
          <t>debit</t>
        </is>
      </c>
      <c r="G52" s="6" t="inlineStr">
        <is>
          <t>balance_sheet</t>
        </is>
      </c>
    </row>
    <row r="53">
      <c r="A53" s="6" t="str"/>
      <c r="B53" s="6" t="str"/>
      <c r="C53" s="6" t="str"/>
      <c r="D53" s="6" t="inlineStr">
        <is>
          <t>Rounded Off</t>
        </is>
      </c>
      <c r="E53" s="39" t="n">
        <v>-1.58</v>
      </c>
      <c r="F53" s="6" t="inlineStr">
        <is>
          <t>debit</t>
        </is>
      </c>
      <c r="G53" s="6" t="inlineStr">
        <is>
          <t>balance_sheet</t>
        </is>
      </c>
    </row>
    <row r="54">
      <c r="A54" s="6" t="str"/>
      <c r="B54" s="6" t="str"/>
      <c r="C54" s="6" t="str"/>
      <c r="D54" s="6" t="inlineStr">
        <is>
          <t>Rounded Off</t>
        </is>
      </c>
      <c r="E54" s="39" t="n">
        <v>-1.03</v>
      </c>
      <c r="F54" s="6" t="inlineStr">
        <is>
          <t>debit</t>
        </is>
      </c>
      <c r="G54" s="6" t="inlineStr">
        <is>
          <t>balance_sheet</t>
        </is>
      </c>
    </row>
    <row r="55">
      <c r="A55" s="34" t="str"/>
      <c r="B55" s="38" t="inlineStr">
        <is>
          <t>Administrative Expenses</t>
        </is>
      </c>
      <c r="C55" s="34" t="str"/>
      <c r="D55" s="34" t="str"/>
      <c r="E55" s="35" t="n">
        <v>198179.49</v>
      </c>
      <c r="F55" s="34" t="inlineStr">
        <is>
          <t>7 txns</t>
        </is>
      </c>
      <c r="G55" s="34" t="inlineStr">
        <is>
          <t>balance_sheet</t>
        </is>
      </c>
    </row>
    <row r="56">
      <c r="A56" s="6" t="str"/>
      <c r="B56" s="6" t="str"/>
      <c r="C56" s="6" t="str"/>
      <c r="D56" s="6" t="inlineStr">
        <is>
          <t>COMMUNICATION EXP.</t>
        </is>
      </c>
      <c r="E56" s="39" t="n">
        <v>914</v>
      </c>
      <c r="F56" s="6" t="inlineStr">
        <is>
          <t>debit</t>
        </is>
      </c>
      <c r="G56" s="6" t="inlineStr">
        <is>
          <t>balance_sheet</t>
        </is>
      </c>
    </row>
    <row r="57">
      <c r="A57" s="6" t="str"/>
      <c r="B57" s="6" t="str"/>
      <c r="C57" s="6" t="str"/>
      <c r="D57" s="6" t="inlineStr">
        <is>
          <t>OFFICE EXPENSES</t>
        </is>
      </c>
      <c r="E57" s="39" t="n">
        <v>3151</v>
      </c>
      <c r="F57" s="6" t="inlineStr">
        <is>
          <t>debit</t>
        </is>
      </c>
      <c r="G57" s="6" t="inlineStr">
        <is>
          <t>balance_sheet</t>
        </is>
      </c>
    </row>
    <row r="58">
      <c r="A58" s="6" t="str"/>
      <c r="B58" s="6" t="str"/>
      <c r="C58" s="6" t="str"/>
      <c r="D58" s="6" t="inlineStr">
        <is>
          <t>Office Rent</t>
        </is>
      </c>
      <c r="E58" s="39" t="n">
        <v>155287</v>
      </c>
      <c r="F58" s="6" t="inlineStr">
        <is>
          <t>debit</t>
        </is>
      </c>
      <c r="G58" s="6" t="inlineStr">
        <is>
          <t>balance_sheet</t>
        </is>
      </c>
    </row>
    <row r="59">
      <c r="A59" s="6" t="str"/>
      <c r="B59" s="6" t="str"/>
      <c r="C59" s="6" t="str"/>
      <c r="D59" s="6" t="inlineStr">
        <is>
          <t>Printing &amp; Stationery@%</t>
        </is>
      </c>
      <c r="E59" s="39" t="n">
        <v>20035</v>
      </c>
      <c r="F59" s="6" t="inlineStr">
        <is>
          <t>debit</t>
        </is>
      </c>
      <c r="G59" s="6" t="inlineStr">
        <is>
          <t>balance_sheet</t>
        </is>
      </c>
    </row>
    <row r="60">
      <c r="A60" s="6" t="str"/>
      <c r="B60" s="6" t="str"/>
      <c r="C60" s="6" t="str"/>
      <c r="D60" s="6" t="inlineStr">
        <is>
          <t>PRINTING STATIONERY EXPENSES</t>
        </is>
      </c>
      <c r="E60" s="39" t="n">
        <v>1000</v>
      </c>
      <c r="F60" s="6" t="inlineStr">
        <is>
          <t>debit</t>
        </is>
      </c>
      <c r="G60" s="6" t="inlineStr">
        <is>
          <t>balance_sheet</t>
        </is>
      </c>
    </row>
    <row r="61">
      <c r="A61" s="6" t="str"/>
      <c r="B61" s="6" t="str"/>
      <c r="C61" s="6" t="str"/>
      <c r="D61" s="6" t="inlineStr">
        <is>
          <t>REPAIRE &amp; MAINTENANCE EXPENS</t>
        </is>
      </c>
      <c r="E61" s="39" t="n">
        <v>3000</v>
      </c>
      <c r="F61" s="6" t="inlineStr">
        <is>
          <t>debit</t>
        </is>
      </c>
      <c r="G61" s="6" t="inlineStr">
        <is>
          <t>balance_sheet</t>
        </is>
      </c>
    </row>
    <row r="62">
      <c r="A62" s="6" t="str"/>
      <c r="B62" s="6" t="str"/>
      <c r="C62" s="6" t="str"/>
      <c r="D62" s="6" t="inlineStr">
        <is>
          <t>VEHICAL RUNING MAINTENANCE</t>
        </is>
      </c>
      <c r="E62" s="39" t="n">
        <v>14792.49</v>
      </c>
      <c r="F62" s="6" t="inlineStr">
        <is>
          <t>debit</t>
        </is>
      </c>
      <c r="G62" s="6" t="inlineStr">
        <is>
          <t>balance_sheet</t>
        </is>
      </c>
    </row>
    <row r="63">
      <c r="A63" s="34" t="str"/>
      <c r="B63" s="38" t="inlineStr">
        <is>
          <t>Staff Welfare &amp; Events</t>
        </is>
      </c>
      <c r="C63" s="34" t="str"/>
      <c r="D63" s="34" t="str"/>
      <c r="E63" s="35" t="n">
        <v>35521</v>
      </c>
      <c r="F63" s="34" t="inlineStr">
        <is>
          <t>2 txns</t>
        </is>
      </c>
      <c r="G63" s="34" t="inlineStr">
        <is>
          <t>balance_sheet</t>
        </is>
      </c>
    </row>
    <row r="64">
      <c r="A64" s="6" t="str"/>
      <c r="B64" s="6" t="str"/>
      <c r="C64" s="6" t="str"/>
      <c r="D64" s="6" t="inlineStr">
        <is>
          <t>DIWALI EXP. @ %</t>
        </is>
      </c>
      <c r="E64" s="39" t="n">
        <v>30607</v>
      </c>
      <c r="F64" s="6" t="inlineStr">
        <is>
          <t>debit</t>
        </is>
      </c>
      <c r="G64" s="6" t="inlineStr">
        <is>
          <t>balance_sheet</t>
        </is>
      </c>
    </row>
    <row r="65">
      <c r="A65" s="6" t="str"/>
      <c r="B65" s="6" t="str"/>
      <c r="C65" s="6" t="str"/>
      <c r="D65" s="6" t="inlineStr">
        <is>
          <t>STAFF WELFARE EXPENSES</t>
        </is>
      </c>
      <c r="E65" s="39" t="n">
        <v>4914</v>
      </c>
      <c r="F65" s="6" t="inlineStr">
        <is>
          <t>debit</t>
        </is>
      </c>
      <c r="G65" s="6" t="inlineStr">
        <is>
          <t>balance_sheet</t>
        </is>
      </c>
    </row>
    <row r="66">
      <c r="A66" s="34" t="str"/>
      <c r="B66" s="38" t="inlineStr">
        <is>
          <t>Salaries (Admin Mgmt)</t>
        </is>
      </c>
      <c r="C66" s="34" t="str"/>
      <c r="D66" s="34" t="str"/>
      <c r="E66" s="35" t="n">
        <v>681318</v>
      </c>
      <c r="F66" s="34" t="inlineStr">
        <is>
          <t>2 txns</t>
        </is>
      </c>
      <c r="G66" s="34" t="inlineStr">
        <is>
          <t>balance_sheet</t>
        </is>
      </c>
    </row>
    <row r="67">
      <c r="A67" s="6" t="str"/>
      <c r="B67" s="6" t="str"/>
      <c r="C67" s="6" t="str"/>
      <c r="D67" s="6" t="inlineStr">
        <is>
          <t>ESI EMPLOYER CONTRIBUTTION E</t>
        </is>
      </c>
      <c r="E67" s="39" t="n">
        <v>2735</v>
      </c>
      <c r="F67" s="6" t="inlineStr">
        <is>
          <t>debit</t>
        </is>
      </c>
      <c r="G67" s="6" t="inlineStr">
        <is>
          <t>balance_sheet</t>
        </is>
      </c>
    </row>
    <row r="68">
      <c r="A68" s="6" t="str"/>
      <c r="B68" s="6" t="str"/>
      <c r="C68" s="6" t="str"/>
      <c r="D68" s="6" t="inlineStr">
        <is>
          <t>Salary Expenses</t>
        </is>
      </c>
      <c r="E68" s="39" t="n">
        <v>678583</v>
      </c>
      <c r="F68" s="6" t="inlineStr">
        <is>
          <t>debit</t>
        </is>
      </c>
      <c r="G68" s="6" t="inlineStr">
        <is>
          <t>balance_sheet</t>
        </is>
      </c>
    </row>
    <row r="69">
      <c r="A69" s="34" t="str"/>
      <c r="B69" s="38" t="inlineStr">
        <is>
          <t>Legal &amp; CA expenses</t>
        </is>
      </c>
      <c r="C69" s="34" t="str"/>
      <c r="D69" s="34" t="str"/>
      <c r="E69" s="35" t="n">
        <v>93900</v>
      </c>
      <c r="F69" s="34" t="inlineStr">
        <is>
          <t>2 txns</t>
        </is>
      </c>
      <c r="G69" s="34" t="inlineStr">
        <is>
          <t>balance_sheet</t>
        </is>
      </c>
    </row>
    <row r="70">
      <c r="A70" s="6" t="str"/>
      <c r="B70" s="6" t="str"/>
      <c r="C70" s="6" t="str"/>
      <c r="D70" s="6" t="inlineStr">
        <is>
          <t>GST REGISTRATION EXP.</t>
        </is>
      </c>
      <c r="E70" s="39" t="n">
        <v>5900</v>
      </c>
      <c r="F70" s="6" t="inlineStr">
        <is>
          <t>debit</t>
        </is>
      </c>
      <c r="G70" s="6" t="inlineStr">
        <is>
          <t>balance_sheet</t>
        </is>
      </c>
    </row>
    <row r="71">
      <c r="A71" s="6" t="str"/>
      <c r="B71" s="6" t="str"/>
      <c r="C71" s="6" t="str"/>
      <c r="D71" s="6" t="inlineStr">
        <is>
          <t>LEGAL &amp; PROFESSIONAL EXPENS</t>
        </is>
      </c>
      <c r="E71" s="39" t="n">
        <v>88000</v>
      </c>
      <c r="F71" s="6" t="inlineStr">
        <is>
          <t>debit</t>
        </is>
      </c>
      <c r="G71" s="6" t="inlineStr">
        <is>
          <t>balance_sheet</t>
        </is>
      </c>
    </row>
    <row r="72">
      <c r="A72" s="34" t="str"/>
      <c r="B72" s="38" t="inlineStr">
        <is>
          <t>Miscellaneous (Travel, insurance)</t>
        </is>
      </c>
      <c r="C72" s="34" t="str"/>
      <c r="D72" s="34" t="str"/>
      <c r="E72" s="35" t="n">
        <v>12535</v>
      </c>
      <c r="F72" s="34" t="inlineStr">
        <is>
          <t>1 txns</t>
        </is>
      </c>
      <c r="G72" s="34" t="inlineStr">
        <is>
          <t>balance_sheet</t>
        </is>
      </c>
    </row>
    <row r="73">
      <c r="A73" s="6" t="str"/>
      <c r="B73" s="6" t="str"/>
      <c r="C73" s="6" t="str"/>
      <c r="D73" s="6" t="inlineStr">
        <is>
          <t>Travelling Expenses</t>
        </is>
      </c>
      <c r="E73" s="39" t="n">
        <v>12535</v>
      </c>
      <c r="F73" s="6" t="inlineStr">
        <is>
          <t>debit</t>
        </is>
      </c>
      <c r="G73" s="6" t="inlineStr">
        <is>
          <t>balance_sheet</t>
        </is>
      </c>
    </row>
    <row r="75">
      <c r="A75" s="24" t="inlineStr">
        <is>
          <t>J. Non-Operating</t>
        </is>
      </c>
      <c r="B75" s="24" t="str"/>
      <c r="C75" s="24" t="str"/>
      <c r="D75" s="24" t="str"/>
      <c r="E75" s="37" t="n">
        <v>48705</v>
      </c>
      <c r="F75" s="24" t="inlineStr">
        <is>
          <t>1 txns</t>
        </is>
      </c>
      <c r="G75" s="24" t="str"/>
    </row>
    <row r="76">
      <c r="A76" s="34" t="str"/>
      <c r="B76" s="38" t="inlineStr">
        <is>
          <t>Less: Interest Expense</t>
        </is>
      </c>
      <c r="C76" s="34" t="str"/>
      <c r="D76" s="34" t="str"/>
      <c r="E76" s="35" t="n">
        <v>48705</v>
      </c>
      <c r="F76" s="34" t="inlineStr">
        <is>
          <t>1 txns</t>
        </is>
      </c>
      <c r="G76" s="34" t="inlineStr">
        <is>
          <t>balance_sheet</t>
        </is>
      </c>
    </row>
    <row r="77">
      <c r="A77" s="6" t="str"/>
      <c r="B77" s="6" t="str"/>
      <c r="C77" s="6" t="str"/>
      <c r="D77" s="6" t="inlineStr">
        <is>
          <t>INTEREST ON OD LIMIT</t>
        </is>
      </c>
      <c r="E77" s="39" t="n">
        <v>48705</v>
      </c>
      <c r="F77" s="6" t="inlineStr">
        <is>
          <t>debit</t>
        </is>
      </c>
      <c r="G77" s="6" t="inlineStr">
        <is>
          <t>balance_sheet</t>
        </is>
      </c>
    </row>
  </sheetData>
  <mergeCells count="1">
    <mergeCell ref="A1:G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cols>
    <col width="25.83203125" customWidth="1" style="2" min="1" max="1"/>
    <col width="30.83203125" customWidth="1" style="2" min="2" max="2"/>
    <col width="12.83203125" customWidth="1" style="2" min="3" max="3"/>
    <col width="45.83203125" customWidth="1" style="2" min="4" max="4"/>
    <col width="15.83203125" customWidth="1" style="2" min="5" max="5"/>
    <col width="10.83203125" customWidth="1" style="2" min="6" max="6"/>
    <col width="15.83203125" customWidth="1" style="2" min="7" max="7"/>
  </cols>
  <sheetData>
    <row r="1">
      <c r="A1" s="40" t="inlineStr">
        <is>
          <t>Oct 2025 - TRANSACTION DETAILS</t>
        </is>
      </c>
    </row>
    <row r="3">
      <c r="A3" s="5" t="inlineStr">
        <is>
          <t>Head</t>
        </is>
      </c>
      <c r="B3" s="5" t="inlineStr">
        <is>
          <t>Subhead</t>
        </is>
      </c>
      <c r="C3" s="5" t="inlineStr">
        <is>
          <t>Date</t>
        </is>
      </c>
      <c r="D3" s="5" t="inlineStr">
        <is>
          <t>Account</t>
        </is>
      </c>
      <c r="E3" s="5" t="inlineStr">
        <is>
          <t>Amount (₹)</t>
        </is>
      </c>
      <c r="F3" s="5" t="inlineStr">
        <is>
          <t>Type</t>
        </is>
      </c>
      <c r="G3" s="5" t="inlineStr">
        <is>
          <t>Source</t>
        </is>
      </c>
    </row>
    <row r="4">
      <c r="A4" s="24" t="inlineStr">
        <is>
          <t>E. COGM</t>
        </is>
      </c>
      <c r="B4" s="24" t="str"/>
      <c r="C4" s="24" t="str"/>
      <c r="D4" s="24" t="str"/>
      <c r="E4" s="37" t="n">
        <v>200107.93</v>
      </c>
      <c r="F4" s="24" t="inlineStr">
        <is>
          <t>7 txns</t>
        </is>
      </c>
      <c r="G4" s="24" t="str"/>
    </row>
    <row r="5">
      <c r="A5" s="34" t="str"/>
      <c r="B5" s="38" t="inlineStr">
        <is>
          <t>Raw Materials &amp; Inventory</t>
        </is>
      </c>
      <c r="C5" s="34" t="str"/>
      <c r="D5" s="34" t="str"/>
      <c r="E5" s="35" t="n">
        <v>1929947.22</v>
      </c>
      <c r="F5" s="34" t="inlineStr">
        <is>
          <t>1 txns</t>
        </is>
      </c>
      <c r="G5" s="34" t="inlineStr">
        <is>
          <t>calculated</t>
        </is>
      </c>
    </row>
    <row r="6">
      <c r="A6" s="6" t="str"/>
      <c r="B6" s="6" t="str"/>
      <c r="C6" s="6" t="str"/>
      <c r="D6" s="6" t="inlineStr">
        <is>
          <t>Raw Materials (Prorated by Revenue)</t>
        </is>
      </c>
      <c r="E6" s="39" t="n">
        <v>1929947.22</v>
      </c>
      <c r="F6" s="6" t="inlineStr">
        <is>
          <t>debit</t>
        </is>
      </c>
      <c r="G6" s="6" t="inlineStr">
        <is>
          <t>calculated</t>
        </is>
      </c>
    </row>
    <row r="7">
      <c r="A7" s="34" t="str"/>
      <c r="B7" s="38" t="inlineStr">
        <is>
          <t>Consumables</t>
        </is>
      </c>
      <c r="C7" s="34" t="str"/>
      <c r="D7" s="34" t="str"/>
      <c r="E7" s="35" t="n">
        <v>2500</v>
      </c>
      <c r="F7" s="34" t="inlineStr">
        <is>
          <t>1 txns</t>
        </is>
      </c>
      <c r="G7" s="34" t="inlineStr">
        <is>
          <t>balance_sheet</t>
        </is>
      </c>
    </row>
    <row r="8">
      <c r="A8" s="6" t="str"/>
      <c r="B8" s="6" t="str"/>
      <c r="C8" s="6" t="str"/>
      <c r="D8" s="6" t="inlineStr">
        <is>
          <t>CONSUMABLE EXPENSES @%</t>
        </is>
      </c>
      <c r="E8" s="39" t="n">
        <v>2500</v>
      </c>
      <c r="F8" s="6" t="inlineStr">
        <is>
          <t>debit</t>
        </is>
      </c>
      <c r="G8" s="6" t="inlineStr">
        <is>
          <t>balance_sheet</t>
        </is>
      </c>
    </row>
    <row r="9">
      <c r="A9" s="34" t="str"/>
      <c r="B9" s="38" t="inlineStr">
        <is>
          <t>Factory Maintenance</t>
        </is>
      </c>
      <c r="C9" s="34" t="str"/>
      <c r="D9" s="34" t="str"/>
      <c r="E9" s="35" t="n">
        <v>45426</v>
      </c>
      <c r="F9" s="34" t="inlineStr">
        <is>
          <t>2 txns</t>
        </is>
      </c>
      <c r="G9" s="34" t="inlineStr">
        <is>
          <t>balance_sheet</t>
        </is>
      </c>
    </row>
    <row r="10">
      <c r="A10" s="6" t="str"/>
      <c r="B10" s="6" t="str"/>
      <c r="C10" s="6" t="str"/>
      <c r="D10" s="6" t="inlineStr">
        <is>
          <t>Electricity &amp; Water Expenses</t>
        </is>
      </c>
      <c r="E10" s="39" t="n">
        <v>26426</v>
      </c>
      <c r="F10" s="6" t="inlineStr">
        <is>
          <t>debit</t>
        </is>
      </c>
      <c r="G10" s="6" t="inlineStr">
        <is>
          <t>balance_sheet</t>
        </is>
      </c>
    </row>
    <row r="11">
      <c r="A11" s="6" t="str"/>
      <c r="B11" s="6" t="str"/>
      <c r="C11" s="6" t="str"/>
      <c r="D11" s="6" t="inlineStr">
        <is>
          <t>POWER BACKUP &amp; MAITENANCE (D</t>
        </is>
      </c>
      <c r="E11" s="39" t="n">
        <v>19000</v>
      </c>
      <c r="F11" s="6" t="inlineStr">
        <is>
          <t>debit</t>
        </is>
      </c>
      <c r="G11" s="6" t="inlineStr">
        <is>
          <t>balance_sheet</t>
        </is>
      </c>
    </row>
    <row r="12">
      <c r="A12" s="34" t="str"/>
      <c r="B12" s="38" t="inlineStr">
        <is>
          <t>Inbound Transport</t>
        </is>
      </c>
      <c r="C12" s="34" t="str"/>
      <c r="D12" s="34" t="str"/>
      <c r="E12" s="35" t="n">
        <v>62861.93</v>
      </c>
      <c r="F12" s="34" t="inlineStr">
        <is>
          <t>1 txns</t>
        </is>
      </c>
      <c r="G12" s="34" t="inlineStr">
        <is>
          <t>balance_sheet</t>
        </is>
      </c>
    </row>
    <row r="13">
      <c r="A13" s="6" t="str"/>
      <c r="B13" s="6" t="str"/>
      <c r="C13" s="6" t="str"/>
      <c r="D13" s="6" t="inlineStr">
        <is>
          <t>FREIGHT CHARES @%</t>
        </is>
      </c>
      <c r="E13" s="39" t="n">
        <v>62861.93</v>
      </c>
      <c r="F13" s="6" t="inlineStr">
        <is>
          <t>debit</t>
        </is>
      </c>
      <c r="G13" s="6" t="inlineStr">
        <is>
          <t>balance_sheet</t>
        </is>
      </c>
    </row>
    <row r="14">
      <c r="A14" s="34" t="str"/>
      <c r="B14" s="38" t="inlineStr">
        <is>
          <t>Job work</t>
        </is>
      </c>
      <c r="C14" s="34" t="str"/>
      <c r="D14" s="34" t="str"/>
      <c r="E14" s="35" t="n">
        <v>80320</v>
      </c>
      <c r="F14" s="34" t="inlineStr">
        <is>
          <t>2 txns</t>
        </is>
      </c>
      <c r="G14" s="34" t="inlineStr">
        <is>
          <t>balance_sheet</t>
        </is>
      </c>
    </row>
    <row r="15">
      <c r="A15" s="6" t="str"/>
      <c r="B15" s="6" t="str"/>
      <c r="C15" s="6" t="str"/>
      <c r="D15" s="6" t="inlineStr">
        <is>
          <t>JOB WORK</t>
        </is>
      </c>
      <c r="E15" s="39" t="n">
        <v>10000</v>
      </c>
      <c r="F15" s="6" t="inlineStr">
        <is>
          <t>debit</t>
        </is>
      </c>
      <c r="G15" s="6" t="inlineStr">
        <is>
          <t>balance_sheet</t>
        </is>
      </c>
    </row>
    <row r="16">
      <c r="A16" s="6" t="str"/>
      <c r="B16" s="6" t="str"/>
      <c r="C16" s="6" t="str"/>
      <c r="D16" s="6" t="inlineStr">
        <is>
          <t>JOB WORK @%</t>
        </is>
      </c>
      <c r="E16" s="39" t="n">
        <v>70320</v>
      </c>
      <c r="F16" s="6" t="inlineStr">
        <is>
          <t>debit</t>
        </is>
      </c>
      <c r="G16" s="6" t="inlineStr">
        <is>
          <t>balance_sheet</t>
        </is>
      </c>
    </row>
    <row r="17">
      <c r="A17" s="34" t="str"/>
      <c r="B17" s="38" t="inlineStr">
        <is>
          <t>Manufacturing Wages</t>
        </is>
      </c>
      <c r="C17" s="34" t="str"/>
      <c r="D17" s="34" t="str"/>
      <c r="E17" s="35" t="n">
        <v>9000</v>
      </c>
      <c r="F17" s="34" t="inlineStr">
        <is>
          <t>1 txns</t>
        </is>
      </c>
      <c r="G17" s="34" t="inlineStr">
        <is>
          <t>balance_sheet</t>
        </is>
      </c>
    </row>
    <row r="18">
      <c r="A18" s="6" t="str"/>
      <c r="B18" s="6" t="str"/>
      <c r="C18" s="6" t="str"/>
      <c r="D18" s="6" t="inlineStr">
        <is>
          <t>LABOUR &amp; WAGES EXPENSES</t>
        </is>
      </c>
      <c r="E18" s="39" t="n">
        <v>9000</v>
      </c>
      <c r="F18" s="6" t="inlineStr">
        <is>
          <t>debit</t>
        </is>
      </c>
      <c r="G18" s="6" t="inlineStr">
        <is>
          <t>balance_sheet</t>
        </is>
      </c>
    </row>
    <row r="20">
      <c r="A20" s="24" t="inlineStr">
        <is>
          <t>F. Channel &amp; Fulfillment</t>
        </is>
      </c>
      <c r="B20" s="24" t="str"/>
      <c r="C20" s="24" t="str"/>
      <c r="D20" s="24" t="str"/>
      <c r="E20" s="37" t="n">
        <v>688845.33</v>
      </c>
      <c r="F20" s="24" t="inlineStr">
        <is>
          <t>11 txns</t>
        </is>
      </c>
      <c r="G20" s="24" t="str"/>
    </row>
    <row r="21">
      <c r="A21" s="34" t="str"/>
      <c r="B21" s="38" t="inlineStr">
        <is>
          <t>Amazon Fees</t>
        </is>
      </c>
      <c r="C21" s="34" t="str"/>
      <c r="D21" s="34" t="str"/>
      <c r="E21" s="35" t="n">
        <v>656374.67</v>
      </c>
      <c r="F21" s="34" t="inlineStr">
        <is>
          <t>6 txns</t>
        </is>
      </c>
      <c r="G21" s="34" t="inlineStr">
        <is>
          <t>balance_sheet</t>
        </is>
      </c>
    </row>
    <row r="22">
      <c r="A22" s="6" t="str"/>
      <c r="B22" s="6" t="str"/>
      <c r="C22" s="6" t="str"/>
      <c r="D22" s="6" t="inlineStr">
        <is>
          <t>AMAZON LOGISTICS EXP.</t>
        </is>
      </c>
      <c r="E22" s="39" t="n">
        <v>256049.84</v>
      </c>
      <c r="F22" s="6" t="inlineStr">
        <is>
          <t>debit</t>
        </is>
      </c>
      <c r="G22" s="6" t="inlineStr">
        <is>
          <t>balance_sheet</t>
        </is>
      </c>
    </row>
    <row r="23">
      <c r="A23" s="6" t="str"/>
      <c r="B23" s="6" t="str"/>
      <c r="C23" s="6" t="str"/>
      <c r="D23" s="6" t="inlineStr">
        <is>
          <t>SHIPPING FEE</t>
        </is>
      </c>
      <c r="E23" s="39" t="n">
        <v>21100</v>
      </c>
      <c r="F23" s="6" t="inlineStr">
        <is>
          <t>debit</t>
        </is>
      </c>
      <c r="G23" s="6" t="inlineStr">
        <is>
          <t>balance_sheet</t>
        </is>
      </c>
    </row>
    <row r="24">
      <c r="A24" s="6" t="str"/>
      <c r="B24" s="6" t="str"/>
      <c r="C24" s="6" t="str"/>
      <c r="D24" s="6" t="inlineStr">
        <is>
          <t>Storage Fee</t>
        </is>
      </c>
      <c r="E24" s="39" t="n">
        <v>52850.66</v>
      </c>
      <c r="F24" s="6" t="inlineStr">
        <is>
          <t>debit</t>
        </is>
      </c>
      <c r="G24" s="6" t="inlineStr">
        <is>
          <t>balance_sheet</t>
        </is>
      </c>
    </row>
    <row r="25">
      <c r="A25" s="6" t="str"/>
      <c r="B25" s="6" t="str"/>
      <c r="C25" s="6" t="str"/>
      <c r="D25" s="6" t="inlineStr">
        <is>
          <t>AMAZON LOGISTICS EXP.</t>
        </is>
      </c>
      <c r="E25" s="39" t="n">
        <v>134988.67</v>
      </c>
      <c r="F25" s="6" t="inlineStr">
        <is>
          <t>debit</t>
        </is>
      </c>
      <c r="G25" s="6" t="inlineStr">
        <is>
          <t>balance_sheet</t>
        </is>
      </c>
    </row>
    <row r="26">
      <c r="A26" s="6" t="str"/>
      <c r="B26" s="6" t="str"/>
      <c r="C26" s="6" t="str"/>
      <c r="D26" s="6" t="inlineStr">
        <is>
          <t>AMAZON LOGISCTICS EXP.</t>
        </is>
      </c>
      <c r="E26" s="39" t="n">
        <v>62643.61</v>
      </c>
      <c r="F26" s="6" t="inlineStr">
        <is>
          <t>debit</t>
        </is>
      </c>
      <c r="G26" s="6" t="inlineStr">
        <is>
          <t>balance_sheet</t>
        </is>
      </c>
    </row>
    <row r="27">
      <c r="A27" s="6" t="str"/>
      <c r="B27" s="6" t="str"/>
      <c r="C27" s="6" t="str"/>
      <c r="D27" s="6" t="inlineStr">
        <is>
          <t>AMAZON LOGISCTICS EXP.</t>
        </is>
      </c>
      <c r="E27" s="39" t="n">
        <v>128741.89</v>
      </c>
      <c r="F27" s="6" t="inlineStr">
        <is>
          <t>debit</t>
        </is>
      </c>
      <c r="G27" s="6" t="inlineStr">
        <is>
          <t>balance_sheet</t>
        </is>
      </c>
    </row>
    <row r="28">
      <c r="A28" s="34" t="str"/>
      <c r="B28" s="38" t="inlineStr">
        <is>
          <t>D2C Fees</t>
        </is>
      </c>
      <c r="C28" s="34" t="str"/>
      <c r="D28" s="34" t="str"/>
      <c r="E28" s="35" t="n">
        <v>32470.66</v>
      </c>
      <c r="F28" s="34" t="inlineStr">
        <is>
          <t>5 txns</t>
        </is>
      </c>
      <c r="G28" s="34" t="inlineStr">
        <is>
          <t>balance_sheet</t>
        </is>
      </c>
    </row>
    <row r="29">
      <c r="A29" s="6" t="str"/>
      <c r="B29" s="6" t="str"/>
      <c r="C29" s="6" t="str"/>
      <c r="D29" s="6" t="inlineStr">
        <is>
          <t>COURIER &amp; POSTAGE EXPENSE</t>
        </is>
      </c>
      <c r="E29" s="39" t="n">
        <v>3126.5</v>
      </c>
      <c r="F29" s="6" t="inlineStr">
        <is>
          <t>debit</t>
        </is>
      </c>
      <c r="G29" s="6" t="inlineStr">
        <is>
          <t>balance_sheet</t>
        </is>
      </c>
    </row>
    <row r="30">
      <c r="A30" s="6" t="str"/>
      <c r="B30" s="6" t="str"/>
      <c r="C30" s="6" t="str"/>
      <c r="D30" s="6" t="inlineStr">
        <is>
          <t>Freight &amp; Forwarding Charges</t>
        </is>
      </c>
      <c r="E30" s="39" t="n">
        <v>3100</v>
      </c>
      <c r="F30" s="6" t="inlineStr">
        <is>
          <t>debit</t>
        </is>
      </c>
      <c r="G30" s="6" t="inlineStr">
        <is>
          <t>balance_sheet</t>
        </is>
      </c>
    </row>
    <row r="31">
      <c r="A31" s="6" t="str"/>
      <c r="B31" s="6" t="str"/>
      <c r="C31" s="6" t="str"/>
      <c r="D31" s="6" t="inlineStr">
        <is>
          <t>FREIGHT CHARGE@%</t>
        </is>
      </c>
      <c r="E31" s="39" t="n">
        <v>5325</v>
      </c>
      <c r="F31" s="6" t="inlineStr">
        <is>
          <t>debit</t>
        </is>
      </c>
      <c r="G31" s="6" t="inlineStr">
        <is>
          <t>balance_sheet</t>
        </is>
      </c>
    </row>
    <row r="32">
      <c r="A32" s="6" t="str"/>
      <c r="B32" s="6" t="str"/>
      <c r="C32" s="6" t="str"/>
      <c r="D32" s="6" t="inlineStr">
        <is>
          <t>PORTER DAILY EXP.</t>
        </is>
      </c>
      <c r="E32" s="39" t="n">
        <v>12059</v>
      </c>
      <c r="F32" s="6" t="inlineStr">
        <is>
          <t>debit</t>
        </is>
      </c>
      <c r="G32" s="6" t="inlineStr">
        <is>
          <t>balance_sheet</t>
        </is>
      </c>
    </row>
    <row r="33">
      <c r="A33" s="6" t="str"/>
      <c r="B33" s="6" t="str"/>
      <c r="C33" s="6" t="str"/>
      <c r="D33" s="6" t="inlineStr">
        <is>
          <t>SELLING &amp; DISTRIBUTION EXP.</t>
        </is>
      </c>
      <c r="E33" s="39" t="n">
        <v>8860.16</v>
      </c>
      <c r="F33" s="6" t="inlineStr">
        <is>
          <t>debit</t>
        </is>
      </c>
      <c r="G33" s="6" t="inlineStr">
        <is>
          <t>balance_sheet</t>
        </is>
      </c>
    </row>
    <row r="35">
      <c r="A35" s="24" t="inlineStr">
        <is>
          <t>G. Sales &amp; Marketing</t>
        </is>
      </c>
      <c r="B35" s="24" t="str"/>
      <c r="C35" s="24" t="str"/>
      <c r="D35" s="24" t="str"/>
      <c r="E35" s="37" t="n">
        <v>1844765.5</v>
      </c>
      <c r="F35" s="24" t="inlineStr">
        <is>
          <t>3 txns</t>
        </is>
      </c>
      <c r="G35" s="24" t="str"/>
    </row>
    <row r="36">
      <c r="A36" s="34" t="str"/>
      <c r="B36" s="38" t="inlineStr">
        <is>
          <t>Advertising &amp; Marketing</t>
        </is>
      </c>
      <c r="C36" s="34" t="str"/>
      <c r="D36" s="34" t="str"/>
      <c r="E36" s="35" t="n">
        <v>1844765.5</v>
      </c>
      <c r="F36" s="34" t="inlineStr">
        <is>
          <t>3 txns</t>
        </is>
      </c>
      <c r="G36" s="34" t="inlineStr">
        <is>
          <t>balance_sheet</t>
        </is>
      </c>
    </row>
    <row r="37">
      <c r="A37" s="6" t="str"/>
      <c r="B37" s="6" t="str"/>
      <c r="C37" s="6" t="str"/>
      <c r="D37" s="6" t="inlineStr">
        <is>
          <t>Advertisement &amp; Publicity</t>
        </is>
      </c>
      <c r="E37" s="39" t="n">
        <v>1514765.5</v>
      </c>
      <c r="F37" s="6" t="inlineStr">
        <is>
          <t>debit</t>
        </is>
      </c>
      <c r="G37" s="6" t="inlineStr">
        <is>
          <t>balance_sheet</t>
        </is>
      </c>
    </row>
    <row r="38">
      <c r="A38" s="6" t="str"/>
      <c r="B38" s="6" t="str"/>
      <c r="C38" s="6" t="str"/>
      <c r="D38" s="6" t="inlineStr">
        <is>
          <t>Branding &amp; Packaging Design</t>
        </is>
      </c>
      <c r="E38" s="39" t="n">
        <v>285000</v>
      </c>
      <c r="F38" s="6" t="inlineStr">
        <is>
          <t>debit</t>
        </is>
      </c>
      <c r="G38" s="6" t="inlineStr">
        <is>
          <t>balance_sheet</t>
        </is>
      </c>
    </row>
    <row r="39">
      <c r="A39" s="6" t="str"/>
      <c r="B39" s="6" t="str"/>
      <c r="C39" s="6" t="str"/>
      <c r="D39" s="6" t="inlineStr">
        <is>
          <t>SOCIAL MEDIA MARKETING CHARG</t>
        </is>
      </c>
      <c r="E39" s="39" t="n">
        <v>45000</v>
      </c>
      <c r="F39" s="6" t="inlineStr">
        <is>
          <t>debit</t>
        </is>
      </c>
      <c r="G39" s="6" t="inlineStr">
        <is>
          <t>balance_sheet</t>
        </is>
      </c>
    </row>
    <row r="41">
      <c r="A41" s="24" t="inlineStr">
        <is>
          <t>H. Platform Costs</t>
        </is>
      </c>
      <c r="B41" s="24" t="str"/>
      <c r="C41" s="24" t="str"/>
      <c r="D41" s="24" t="str"/>
      <c r="E41" s="37" t="n">
        <v>4650.72</v>
      </c>
      <c r="F41" s="24" t="inlineStr">
        <is>
          <t>1 txns</t>
        </is>
      </c>
      <c r="G41" s="24" t="str"/>
    </row>
    <row r="42">
      <c r="A42" s="34" t="str"/>
      <c r="B42" s="38" t="inlineStr">
        <is>
          <t>Shopify Subscription</t>
        </is>
      </c>
      <c r="C42" s="34" t="str"/>
      <c r="D42" s="34" t="str"/>
      <c r="E42" s="35" t="n">
        <v>4650.72</v>
      </c>
      <c r="F42" s="34" t="inlineStr">
        <is>
          <t>1 txns</t>
        </is>
      </c>
      <c r="G42" s="34" t="inlineStr">
        <is>
          <t>balance_sheet</t>
        </is>
      </c>
    </row>
    <row r="43">
      <c r="A43" s="6" t="str"/>
      <c r="B43" s="6" t="str"/>
      <c r="C43" s="6" t="str"/>
      <c r="D43" s="6" t="inlineStr">
        <is>
          <t>PLATFORM FEE</t>
        </is>
      </c>
      <c r="E43" s="39" t="n">
        <v>4650.72</v>
      </c>
      <c r="F43" s="6" t="inlineStr">
        <is>
          <t>debit</t>
        </is>
      </c>
      <c r="G43" s="6" t="inlineStr">
        <is>
          <t>balance_sheet</t>
        </is>
      </c>
    </row>
    <row r="45">
      <c r="A45" s="24" t="inlineStr">
        <is>
          <t>I. Operating Expenses</t>
        </is>
      </c>
      <c r="B45" s="24" t="str"/>
      <c r="C45" s="24" t="str"/>
      <c r="D45" s="24" t="str"/>
      <c r="E45" s="37" t="n">
        <v>897999.85</v>
      </c>
      <c r="F45" s="24" t="inlineStr">
        <is>
          <t>24 txns</t>
        </is>
      </c>
      <c r="G45" s="24" t="str"/>
    </row>
    <row r="46">
      <c r="A46" s="34" t="str"/>
      <c r="B46" s="38" t="inlineStr">
        <is>
          <t>Legal &amp; CA expenses</t>
        </is>
      </c>
      <c r="C46" s="34" t="str"/>
      <c r="D46" s="34" t="str"/>
      <c r="E46" s="35" t="n">
        <v>17000</v>
      </c>
      <c r="F46" s="34" t="inlineStr">
        <is>
          <t>2 txns</t>
        </is>
      </c>
      <c r="G46" s="34" t="inlineStr">
        <is>
          <t>balance_sheet</t>
        </is>
      </c>
    </row>
    <row r="47">
      <c r="A47" s="6" t="str"/>
      <c r="B47" s="6" t="str"/>
      <c r="C47" s="6" t="str"/>
      <c r="D47" s="6" t="inlineStr">
        <is>
          <t>ACCOUNTING &amp; RETURN FILLING</t>
        </is>
      </c>
      <c r="E47" s="39" t="n">
        <v>9500</v>
      </c>
      <c r="F47" s="6" t="inlineStr">
        <is>
          <t>debit</t>
        </is>
      </c>
      <c r="G47" s="6" t="inlineStr">
        <is>
          <t>balance_sheet</t>
        </is>
      </c>
    </row>
    <row r="48">
      <c r="A48" s="6" t="str"/>
      <c r="B48" s="6" t="str"/>
      <c r="C48" s="6" t="str"/>
      <c r="D48" s="6" t="inlineStr">
        <is>
          <t>LEGAL &amp; PROFESSIONAL EXPENS</t>
        </is>
      </c>
      <c r="E48" s="39" t="n">
        <v>7500</v>
      </c>
      <c r="F48" s="6" t="inlineStr">
        <is>
          <t>debit</t>
        </is>
      </c>
      <c r="G48" s="6" t="inlineStr">
        <is>
          <t>balance_sheet</t>
        </is>
      </c>
    </row>
    <row r="49">
      <c r="A49" s="34" t="str"/>
      <c r="B49" s="38" t="inlineStr">
        <is>
          <t>Other Operating Expenses</t>
        </is>
      </c>
      <c r="C49" s="34" t="str"/>
      <c r="D49" s="34" t="str"/>
      <c r="E49" s="35" t="n">
        <v>22153</v>
      </c>
      <c r="F49" s="34" t="inlineStr">
        <is>
          <t>8 txns</t>
        </is>
      </c>
      <c r="G49" s="34" t="inlineStr">
        <is>
          <t>balance_sheet</t>
        </is>
      </c>
    </row>
    <row r="50">
      <c r="A50" s="6" t="str"/>
      <c r="B50" s="6" t="str"/>
      <c r="C50" s="6" t="str"/>
      <c r="D50" s="6" t="inlineStr">
        <is>
          <t>AVANISH KUMAR (EXP. A/C)</t>
        </is>
      </c>
      <c r="E50" s="39" t="n">
        <v>3889</v>
      </c>
      <c r="F50" s="6" t="inlineStr">
        <is>
          <t>debit</t>
        </is>
      </c>
      <c r="G50" s="6" t="inlineStr">
        <is>
          <t>balance_sheet</t>
        </is>
      </c>
    </row>
    <row r="51">
      <c r="A51" s="6" t="str"/>
      <c r="B51" s="6" t="str"/>
      <c r="C51" s="6" t="str"/>
      <c r="D51" s="6" t="inlineStr">
        <is>
          <t>Commission Income</t>
        </is>
      </c>
      <c r="E51" s="39" t="n">
        <v>6277.86</v>
      </c>
      <c r="F51" s="6" t="inlineStr">
        <is>
          <t>debit</t>
        </is>
      </c>
      <c r="G51" s="6" t="inlineStr">
        <is>
          <t>balance_sheet</t>
        </is>
      </c>
    </row>
    <row r="52">
      <c r="A52" s="6" t="str"/>
      <c r="B52" s="6" t="str"/>
      <c r="C52" s="6" t="str"/>
      <c r="D52" s="6" t="inlineStr">
        <is>
          <t>PRABHASH EXP. A/C</t>
        </is>
      </c>
      <c r="E52" s="39" t="n">
        <v>-10000</v>
      </c>
      <c r="F52" s="6" t="inlineStr">
        <is>
          <t>debit</t>
        </is>
      </c>
      <c r="G52" s="6" t="inlineStr">
        <is>
          <t>balance_sheet</t>
        </is>
      </c>
    </row>
    <row r="53">
      <c r="A53" s="6" t="str"/>
      <c r="B53" s="6" t="str"/>
      <c r="C53" s="6" t="str"/>
      <c r="D53" s="6" t="inlineStr">
        <is>
          <t>RATE DIFFERENCE</t>
        </is>
      </c>
      <c r="E53" s="39" t="n">
        <v>21330</v>
      </c>
      <c r="F53" s="6" t="inlineStr">
        <is>
          <t>debit</t>
        </is>
      </c>
      <c r="G53" s="6" t="inlineStr">
        <is>
          <t>balance_sheet</t>
        </is>
      </c>
    </row>
    <row r="54">
      <c r="A54" s="6" t="str"/>
      <c r="B54" s="6" t="str"/>
      <c r="C54" s="6" t="str"/>
      <c r="D54" s="6" t="inlineStr">
        <is>
          <t>Return Fee</t>
        </is>
      </c>
      <c r="E54" s="39" t="n">
        <v>650</v>
      </c>
      <c r="F54" s="6" t="inlineStr">
        <is>
          <t>debit</t>
        </is>
      </c>
      <c r="G54" s="6" t="inlineStr">
        <is>
          <t>balance_sheet</t>
        </is>
      </c>
    </row>
    <row r="55">
      <c r="A55" s="6" t="str"/>
      <c r="B55" s="6" t="str"/>
      <c r="C55" s="6" t="str"/>
      <c r="D55" s="6" t="inlineStr">
        <is>
          <t>Rounded Off</t>
        </is>
      </c>
      <c r="E55" s="39" t="n">
        <v>6.84</v>
      </c>
      <c r="F55" s="6" t="inlineStr">
        <is>
          <t>debit</t>
        </is>
      </c>
      <c r="G55" s="6" t="inlineStr">
        <is>
          <t>balance_sheet</t>
        </is>
      </c>
    </row>
    <row r="56">
      <c r="A56" s="6" t="str"/>
      <c r="B56" s="6" t="str"/>
      <c r="C56" s="6" t="str"/>
      <c r="D56" s="6" t="inlineStr">
        <is>
          <t>Rounded Off</t>
        </is>
      </c>
      <c r="E56" s="39" t="n">
        <v>-2.9</v>
      </c>
      <c r="F56" s="6" t="inlineStr">
        <is>
          <t>debit</t>
        </is>
      </c>
      <c r="G56" s="6" t="inlineStr">
        <is>
          <t>balance_sheet</t>
        </is>
      </c>
    </row>
    <row r="57">
      <c r="A57" s="6" t="str"/>
      <c r="B57" s="6" t="str"/>
      <c r="C57" s="6" t="str"/>
      <c r="D57" s="6" t="inlineStr">
        <is>
          <t>Rounded Off</t>
        </is>
      </c>
      <c r="E57" s="39" t="n">
        <v>2.2</v>
      </c>
      <c r="F57" s="6" t="inlineStr">
        <is>
          <t>debit</t>
        </is>
      </c>
      <c r="G57" s="6" t="inlineStr">
        <is>
          <t>balance_sheet</t>
        </is>
      </c>
    </row>
    <row r="58">
      <c r="A58" s="34" t="str"/>
      <c r="B58" s="38" t="inlineStr">
        <is>
          <t>Banks &amp; Finance Charges</t>
        </is>
      </c>
      <c r="C58" s="34" t="str"/>
      <c r="D58" s="34" t="str"/>
      <c r="E58" s="35" t="n">
        <v>2375.48</v>
      </c>
      <c r="F58" s="34" t="inlineStr">
        <is>
          <t>1 txns</t>
        </is>
      </c>
      <c r="G58" s="34" t="inlineStr">
        <is>
          <t>balance_sheet</t>
        </is>
      </c>
    </row>
    <row r="59">
      <c r="A59" s="6" t="str"/>
      <c r="B59" s="6" t="str"/>
      <c r="C59" s="6" t="str"/>
      <c r="D59" s="6" t="inlineStr">
        <is>
          <t>Bank Charges@%</t>
        </is>
      </c>
      <c r="E59" s="39" t="n">
        <v>2375.48</v>
      </c>
      <c r="F59" s="6" t="inlineStr">
        <is>
          <t>debit</t>
        </is>
      </c>
      <c r="G59" s="6" t="inlineStr">
        <is>
          <t>balance_sheet</t>
        </is>
      </c>
    </row>
    <row r="60">
      <c r="A60" s="34" t="str"/>
      <c r="B60" s="38" t="inlineStr">
        <is>
          <t>Administrative Expenses</t>
        </is>
      </c>
      <c r="C60" s="34" t="str"/>
      <c r="D60" s="34" t="str"/>
      <c r="E60" s="35" t="n">
        <v>213803.97</v>
      </c>
      <c r="F60" s="34" t="inlineStr">
        <is>
          <t>7 txns</t>
        </is>
      </c>
      <c r="G60" s="34" t="inlineStr">
        <is>
          <t>balance_sheet</t>
        </is>
      </c>
    </row>
    <row r="61">
      <c r="A61" s="6" t="str"/>
      <c r="B61" s="6" t="str"/>
      <c r="C61" s="6" t="str"/>
      <c r="D61" s="6" t="inlineStr">
        <is>
          <t>COMMUNICATION EXP.</t>
        </is>
      </c>
      <c r="E61" s="39" t="n">
        <v>517.9299999999999</v>
      </c>
      <c r="F61" s="6" t="inlineStr">
        <is>
          <t>debit</t>
        </is>
      </c>
      <c r="G61" s="6" t="inlineStr">
        <is>
          <t>balance_sheet</t>
        </is>
      </c>
    </row>
    <row r="62">
      <c r="A62" s="6" t="str"/>
      <c r="B62" s="6" t="str"/>
      <c r="C62" s="6" t="str"/>
      <c r="D62" s="6" t="inlineStr">
        <is>
          <t>OFFICE EXPENSES</t>
        </is>
      </c>
      <c r="E62" s="39" t="n">
        <v>5814</v>
      </c>
      <c r="F62" s="6" t="inlineStr">
        <is>
          <t>debit</t>
        </is>
      </c>
      <c r="G62" s="6" t="inlineStr">
        <is>
          <t>balance_sheet</t>
        </is>
      </c>
    </row>
    <row r="63">
      <c r="A63" s="6" t="str"/>
      <c r="B63" s="6" t="str"/>
      <c r="C63" s="6" t="str"/>
      <c r="D63" s="6" t="inlineStr">
        <is>
          <t>OFFICE EXPENSES @ %</t>
        </is>
      </c>
      <c r="E63" s="39" t="n">
        <v>14659</v>
      </c>
      <c r="F63" s="6" t="inlineStr">
        <is>
          <t>debit</t>
        </is>
      </c>
      <c r="G63" s="6" t="inlineStr">
        <is>
          <t>balance_sheet</t>
        </is>
      </c>
    </row>
    <row r="64">
      <c r="A64" s="6" t="str"/>
      <c r="B64" s="6" t="str"/>
      <c r="C64" s="6" t="str"/>
      <c r="D64" s="6" t="inlineStr">
        <is>
          <t>Office Rent</t>
        </is>
      </c>
      <c r="E64" s="39" t="n">
        <v>155287</v>
      </c>
      <c r="F64" s="6" t="inlineStr">
        <is>
          <t>debit</t>
        </is>
      </c>
      <c r="G64" s="6" t="inlineStr">
        <is>
          <t>balance_sheet</t>
        </is>
      </c>
    </row>
    <row r="65">
      <c r="A65" s="6" t="str"/>
      <c r="B65" s="6" t="str"/>
      <c r="C65" s="6" t="str"/>
      <c r="D65" s="6" t="inlineStr">
        <is>
          <t>Printing &amp; Stationery@%</t>
        </is>
      </c>
      <c r="E65" s="39" t="n">
        <v>17692.36</v>
      </c>
      <c r="F65" s="6" t="inlineStr">
        <is>
          <t>debit</t>
        </is>
      </c>
      <c r="G65" s="6" t="inlineStr">
        <is>
          <t>balance_sheet</t>
        </is>
      </c>
    </row>
    <row r="66">
      <c r="A66" s="6" t="str"/>
      <c r="B66" s="6" t="str"/>
      <c r="C66" s="6" t="str"/>
      <c r="D66" s="6" t="inlineStr">
        <is>
          <t>REPAIRE &amp; MAINTENANCE EXPENS</t>
        </is>
      </c>
      <c r="E66" s="39" t="n">
        <v>6121</v>
      </c>
      <c r="F66" s="6" t="inlineStr">
        <is>
          <t>debit</t>
        </is>
      </c>
      <c r="G66" s="6" t="inlineStr">
        <is>
          <t>balance_sheet</t>
        </is>
      </c>
    </row>
    <row r="67">
      <c r="A67" s="6" t="str"/>
      <c r="B67" s="6" t="str"/>
      <c r="C67" s="6" t="str"/>
      <c r="D67" s="6" t="inlineStr">
        <is>
          <t>VEHICAL RUNING MAINTENANCE</t>
        </is>
      </c>
      <c r="E67" s="39" t="n">
        <v>13712.68</v>
      </c>
      <c r="F67" s="6" t="inlineStr">
        <is>
          <t>debit</t>
        </is>
      </c>
      <c r="G67" s="6" t="inlineStr">
        <is>
          <t>balance_sheet</t>
        </is>
      </c>
    </row>
    <row r="68">
      <c r="A68" s="34" t="str"/>
      <c r="B68" s="38" t="inlineStr">
        <is>
          <t>Staff Welfare &amp; Events</t>
        </is>
      </c>
      <c r="C68" s="34" t="str"/>
      <c r="D68" s="34" t="str"/>
      <c r="E68" s="35" t="n">
        <v>85213.92</v>
      </c>
      <c r="F68" s="34" t="inlineStr">
        <is>
          <t>2 txns</t>
        </is>
      </c>
      <c r="G68" s="34" t="inlineStr">
        <is>
          <t>balance_sheet</t>
        </is>
      </c>
    </row>
    <row r="69">
      <c r="A69" s="6" t="str"/>
      <c r="B69" s="6" t="str"/>
      <c r="C69" s="6" t="str"/>
      <c r="D69" s="6" t="inlineStr">
        <is>
          <t>DIWALI EXP. @ %</t>
        </is>
      </c>
      <c r="E69" s="39" t="n">
        <v>81331.92</v>
      </c>
      <c r="F69" s="6" t="inlineStr">
        <is>
          <t>debit</t>
        </is>
      </c>
      <c r="G69" s="6" t="inlineStr">
        <is>
          <t>balance_sheet</t>
        </is>
      </c>
    </row>
    <row r="70">
      <c r="A70" s="6" t="str"/>
      <c r="B70" s="6" t="str"/>
      <c r="C70" s="6" t="str"/>
      <c r="D70" s="6" t="inlineStr">
        <is>
          <t>STAFF WELFARE EXPENSES</t>
        </is>
      </c>
      <c r="E70" s="39" t="n">
        <v>3882</v>
      </c>
      <c r="F70" s="6" t="inlineStr">
        <is>
          <t>debit</t>
        </is>
      </c>
      <c r="G70" s="6" t="inlineStr">
        <is>
          <t>balance_sheet</t>
        </is>
      </c>
    </row>
    <row r="71">
      <c r="A71" s="34" t="str"/>
      <c r="B71" s="38" t="inlineStr">
        <is>
          <t>Salaries (Admin Mgmt)</t>
        </is>
      </c>
      <c r="C71" s="34" t="str"/>
      <c r="D71" s="34" t="str"/>
      <c r="E71" s="35" t="n">
        <v>541274</v>
      </c>
      <c r="F71" s="34" t="inlineStr">
        <is>
          <t>2 txns</t>
        </is>
      </c>
      <c r="G71" s="34" t="inlineStr">
        <is>
          <t>balance_sheet</t>
        </is>
      </c>
    </row>
    <row r="72">
      <c r="A72" s="6" t="str"/>
      <c r="B72" s="6" t="str"/>
      <c r="C72" s="6" t="str"/>
      <c r="D72" s="6" t="inlineStr">
        <is>
          <t>ESI EMPLOYER CONTRIBUTTION E</t>
        </is>
      </c>
      <c r="E72" s="39" t="n">
        <v>2765</v>
      </c>
      <c r="F72" s="6" t="inlineStr">
        <is>
          <t>debit</t>
        </is>
      </c>
      <c r="G72" s="6" t="inlineStr">
        <is>
          <t>balance_sheet</t>
        </is>
      </c>
    </row>
    <row r="73">
      <c r="A73" s="6" t="str"/>
      <c r="B73" s="6" t="str"/>
      <c r="C73" s="6" t="str"/>
      <c r="D73" s="6" t="inlineStr">
        <is>
          <t>Salary Expenses</t>
        </is>
      </c>
      <c r="E73" s="39" t="n">
        <v>538509</v>
      </c>
      <c r="F73" s="6" t="inlineStr">
        <is>
          <t>debit</t>
        </is>
      </c>
      <c r="G73" s="6" t="inlineStr">
        <is>
          <t>balance_sheet</t>
        </is>
      </c>
    </row>
    <row r="74">
      <c r="A74" s="34" t="str"/>
      <c r="B74" s="38" t="inlineStr">
        <is>
          <t>Miscellaneous (Travel, insurance)</t>
        </is>
      </c>
      <c r="C74" s="34" t="str"/>
      <c r="D74" s="34" t="str"/>
      <c r="E74" s="35" t="n">
        <v>16179.48</v>
      </c>
      <c r="F74" s="34" t="inlineStr">
        <is>
          <t>2 txns</t>
        </is>
      </c>
      <c r="G74" s="34" t="inlineStr">
        <is>
          <t>balance_sheet</t>
        </is>
      </c>
    </row>
    <row r="75">
      <c r="A75" s="6" t="str"/>
      <c r="B75" s="6" t="str"/>
      <c r="C75" s="6" t="str"/>
      <c r="D75" s="6" t="inlineStr">
        <is>
          <t>Miscellaneous Expenses</t>
        </is>
      </c>
      <c r="E75" s="39" t="n">
        <v>569.48</v>
      </c>
      <c r="F75" s="6" t="inlineStr">
        <is>
          <t>debit</t>
        </is>
      </c>
      <c r="G75" s="6" t="inlineStr">
        <is>
          <t>balance_sheet</t>
        </is>
      </c>
    </row>
    <row r="76">
      <c r="A76" s="6" t="str"/>
      <c r="B76" s="6" t="str"/>
      <c r="C76" s="6" t="str"/>
      <c r="D76" s="6" t="inlineStr">
        <is>
          <t>Travelling Expenses</t>
        </is>
      </c>
      <c r="E76" s="39" t="n">
        <v>15610</v>
      </c>
      <c r="F76" s="6" t="inlineStr">
        <is>
          <t>debit</t>
        </is>
      </c>
      <c r="G76" s="6" t="inlineStr">
        <is>
          <t>balance_sheet</t>
        </is>
      </c>
    </row>
    <row r="78">
      <c r="A78" s="24" t="inlineStr">
        <is>
          <t>J. Non-Operating</t>
        </is>
      </c>
      <c r="B78" s="24" t="str"/>
      <c r="C78" s="24" t="str"/>
      <c r="D78" s="24" t="str"/>
      <c r="E78" s="37" t="n">
        <v>64556</v>
      </c>
      <c r="F78" s="24" t="inlineStr">
        <is>
          <t>1 txns</t>
        </is>
      </c>
      <c r="G78" s="24" t="str"/>
    </row>
    <row r="79">
      <c r="A79" s="34" t="str"/>
      <c r="B79" s="38" t="inlineStr">
        <is>
          <t>Less: Interest Expense</t>
        </is>
      </c>
      <c r="C79" s="34" t="str"/>
      <c r="D79" s="34" t="str"/>
      <c r="E79" s="35" t="n">
        <v>64556</v>
      </c>
      <c r="F79" s="34" t="inlineStr">
        <is>
          <t>1 txns</t>
        </is>
      </c>
      <c r="G79" s="34" t="inlineStr">
        <is>
          <t>balance_sheet</t>
        </is>
      </c>
    </row>
    <row r="80">
      <c r="A80" s="6" t="str"/>
      <c r="B80" s="6" t="str"/>
      <c r="C80" s="6" t="str"/>
      <c r="D80" s="6" t="inlineStr">
        <is>
          <t>INTEREST ON OD LIMIT</t>
        </is>
      </c>
      <c r="E80" s="39" t="n">
        <v>64556</v>
      </c>
      <c r="F80" s="6" t="inlineStr">
        <is>
          <t>debit</t>
        </is>
      </c>
      <c r="G80" s="6" t="inlineStr">
        <is>
          <t>balance_sheet</t>
        </is>
      </c>
    </row>
  </sheetData>
  <mergeCells count="1">
    <mergeCell ref="A1:G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cols>
    <col width="25.83203125" customWidth="1" style="2" min="1" max="1"/>
    <col width="30.83203125" customWidth="1" style="2" min="2" max="2"/>
    <col width="12.83203125" customWidth="1" style="2" min="3" max="3"/>
    <col width="45.83203125" customWidth="1" style="2" min="4" max="4"/>
    <col width="15.83203125" customWidth="1" style="2" min="5" max="5"/>
    <col width="10.83203125" customWidth="1" style="2" min="6" max="6"/>
    <col width="15.83203125" customWidth="1" style="2" min="7" max="7"/>
  </cols>
  <sheetData>
    <row r="1">
      <c r="A1" s="40" t="inlineStr">
        <is>
          <t>Sep 2025 - TRANSACTION DETAILS</t>
        </is>
      </c>
    </row>
    <row r="3">
      <c r="A3" s="5" t="inlineStr">
        <is>
          <t>Head</t>
        </is>
      </c>
      <c r="B3" s="5" t="inlineStr">
        <is>
          <t>Subhead</t>
        </is>
      </c>
      <c r="C3" s="5" t="inlineStr">
        <is>
          <t>Date</t>
        </is>
      </c>
      <c r="D3" s="5" t="inlineStr">
        <is>
          <t>Account</t>
        </is>
      </c>
      <c r="E3" s="5" t="inlineStr">
        <is>
          <t>Amount (₹)</t>
        </is>
      </c>
      <c r="F3" s="5" t="inlineStr">
        <is>
          <t>Type</t>
        </is>
      </c>
      <c r="G3" s="5" t="inlineStr">
        <is>
          <t>Source</t>
        </is>
      </c>
    </row>
    <row r="4">
      <c r="A4" s="24" t="inlineStr">
        <is>
          <t>E. COGM</t>
        </is>
      </c>
      <c r="B4" s="24" t="str"/>
      <c r="C4" s="24" t="str"/>
      <c r="D4" s="24" t="str"/>
      <c r="E4" s="37" t="n">
        <v>191088.42</v>
      </c>
      <c r="F4" s="24" t="inlineStr">
        <is>
          <t>5 txns</t>
        </is>
      </c>
      <c r="G4" s="24" t="str"/>
    </row>
    <row r="5">
      <c r="A5" s="34" t="str"/>
      <c r="B5" s="38" t="inlineStr">
        <is>
          <t>Raw Materials &amp; Inventory</t>
        </is>
      </c>
      <c r="C5" s="34" t="str"/>
      <c r="D5" s="34" t="str"/>
      <c r="E5" s="35" t="n">
        <v>2722725.98</v>
      </c>
      <c r="F5" s="34" t="inlineStr">
        <is>
          <t>1 txns</t>
        </is>
      </c>
      <c r="G5" s="34" t="inlineStr">
        <is>
          <t>calculated</t>
        </is>
      </c>
    </row>
    <row r="6">
      <c r="A6" s="6" t="str"/>
      <c r="B6" s="6" t="str"/>
      <c r="C6" s="6" t="str"/>
      <c r="D6" s="6" t="inlineStr">
        <is>
          <t>Raw Materials (Prorated by Revenue)</t>
        </is>
      </c>
      <c r="E6" s="39" t="n">
        <v>2722725.98</v>
      </c>
      <c r="F6" s="6" t="inlineStr">
        <is>
          <t>debit</t>
        </is>
      </c>
      <c r="G6" s="6" t="inlineStr">
        <is>
          <t>calculated</t>
        </is>
      </c>
    </row>
    <row r="7">
      <c r="A7" s="34" t="str"/>
      <c r="B7" s="38" t="inlineStr">
        <is>
          <t>Factory Maintenance</t>
        </is>
      </c>
      <c r="C7" s="34" t="str"/>
      <c r="D7" s="34" t="str"/>
      <c r="E7" s="35" t="n">
        <v>38250</v>
      </c>
      <c r="F7" s="34" t="inlineStr">
        <is>
          <t>2 txns</t>
        </is>
      </c>
      <c r="G7" s="34" t="inlineStr">
        <is>
          <t>balance_sheet</t>
        </is>
      </c>
    </row>
    <row r="8">
      <c r="A8" s="6" t="str"/>
      <c r="B8" s="6" t="str"/>
      <c r="C8" s="6" t="str"/>
      <c r="D8" s="6" t="inlineStr">
        <is>
          <t>Electricity &amp; Water Expenses</t>
        </is>
      </c>
      <c r="E8" s="39" t="n">
        <v>19250</v>
      </c>
      <c r="F8" s="6" t="inlineStr">
        <is>
          <t>debit</t>
        </is>
      </c>
      <c r="G8" s="6" t="inlineStr">
        <is>
          <t>balance_sheet</t>
        </is>
      </c>
    </row>
    <row r="9">
      <c r="A9" s="6" t="str"/>
      <c r="B9" s="6" t="str"/>
      <c r="C9" s="6" t="str"/>
      <c r="D9" s="6" t="inlineStr">
        <is>
          <t>POWER BACKUP &amp; MAITENANCE (D</t>
        </is>
      </c>
      <c r="E9" s="39" t="n">
        <v>19000</v>
      </c>
      <c r="F9" s="6" t="inlineStr">
        <is>
          <t>debit</t>
        </is>
      </c>
      <c r="G9" s="6" t="inlineStr">
        <is>
          <t>balance_sheet</t>
        </is>
      </c>
    </row>
    <row r="10">
      <c r="A10" s="34" t="str"/>
      <c r="B10" s="38" t="inlineStr">
        <is>
          <t>Inbound Transport</t>
        </is>
      </c>
      <c r="C10" s="34" t="str"/>
      <c r="D10" s="34" t="str"/>
      <c r="E10" s="35" t="n">
        <v>47218.42</v>
      </c>
      <c r="F10" s="34" t="inlineStr">
        <is>
          <t>2 txns</t>
        </is>
      </c>
      <c r="G10" s="34" t="inlineStr">
        <is>
          <t>balance_sheet</t>
        </is>
      </c>
    </row>
    <row r="11">
      <c r="A11" s="6" t="str"/>
      <c r="B11" s="6" t="str"/>
      <c r="C11" s="6" t="str"/>
      <c r="D11" s="6" t="inlineStr">
        <is>
          <t>FREIGHT CHARES @%</t>
        </is>
      </c>
      <c r="E11" s="39" t="n">
        <v>44218.42</v>
      </c>
      <c r="F11" s="6" t="inlineStr">
        <is>
          <t>debit</t>
        </is>
      </c>
      <c r="G11" s="6" t="inlineStr">
        <is>
          <t>balance_sheet</t>
        </is>
      </c>
    </row>
    <row r="12">
      <c r="A12" s="6" t="str"/>
      <c r="B12" s="6" t="str"/>
      <c r="C12" s="6" t="str"/>
      <c r="D12" s="6" t="inlineStr">
        <is>
          <t>FREIGHT CHARGES@%</t>
        </is>
      </c>
      <c r="E12" s="39" t="n">
        <v>3000</v>
      </c>
      <c r="F12" s="6" t="inlineStr">
        <is>
          <t>debit</t>
        </is>
      </c>
      <c r="G12" s="6" t="inlineStr">
        <is>
          <t>balance_sheet</t>
        </is>
      </c>
    </row>
    <row r="13">
      <c r="A13" s="34" t="str"/>
      <c r="B13" s="38" t="inlineStr">
        <is>
          <t>Job work</t>
        </is>
      </c>
      <c r="C13" s="34" t="str"/>
      <c r="D13" s="34" t="str"/>
      <c r="E13" s="35" t="n">
        <v>105620</v>
      </c>
      <c r="F13" s="34" t="inlineStr">
        <is>
          <t>1 txns</t>
        </is>
      </c>
      <c r="G13" s="34" t="inlineStr">
        <is>
          <t>balance_sheet</t>
        </is>
      </c>
    </row>
    <row r="14">
      <c r="A14" s="6" t="str"/>
      <c r="B14" s="6" t="str"/>
      <c r="C14" s="6" t="str"/>
      <c r="D14" s="6" t="inlineStr">
        <is>
          <t>JOB WORK @%</t>
        </is>
      </c>
      <c r="E14" s="39" t="n">
        <v>105620</v>
      </c>
      <c r="F14" s="6" t="inlineStr">
        <is>
          <t>debit</t>
        </is>
      </c>
      <c r="G14" s="6" t="inlineStr">
        <is>
          <t>balance_sheet</t>
        </is>
      </c>
    </row>
    <row r="16">
      <c r="A16" s="24" t="inlineStr">
        <is>
          <t>F. Channel &amp; Fulfillment</t>
        </is>
      </c>
      <c r="B16" s="24" t="str"/>
      <c r="C16" s="24" t="str"/>
      <c r="D16" s="24" t="str"/>
      <c r="E16" s="37" t="n">
        <v>706997.54</v>
      </c>
      <c r="F16" s="24" t="inlineStr">
        <is>
          <t>17 txns</t>
        </is>
      </c>
      <c r="G16" s="24" t="str"/>
    </row>
    <row r="17">
      <c r="A17" s="34" t="str"/>
      <c r="B17" s="38" t="inlineStr">
        <is>
          <t>Amazon Fees</t>
        </is>
      </c>
      <c r="C17" s="34" t="str"/>
      <c r="D17" s="34" t="str"/>
      <c r="E17" s="35" t="n">
        <v>650053.3100000001</v>
      </c>
      <c r="F17" s="34" t="inlineStr">
        <is>
          <t>12 txns</t>
        </is>
      </c>
      <c r="G17" s="34" t="inlineStr">
        <is>
          <t>balance_sheet</t>
        </is>
      </c>
    </row>
    <row r="18">
      <c r="A18" s="6" t="str"/>
      <c r="B18" s="6" t="str"/>
      <c r="C18" s="6" t="str"/>
      <c r="D18" s="6" t="inlineStr">
        <is>
          <t>AMAZON LOGISTICS EXP.</t>
        </is>
      </c>
      <c r="E18" s="39" t="n">
        <v>189986.09</v>
      </c>
      <c r="F18" s="6" t="inlineStr">
        <is>
          <t>debit</t>
        </is>
      </c>
      <c r="G18" s="6" t="inlineStr">
        <is>
          <t>balance_sheet</t>
        </is>
      </c>
    </row>
    <row r="19">
      <c r="A19" s="6" t="str"/>
      <c r="B19" s="6" t="str"/>
      <c r="C19" s="6" t="str"/>
      <c r="D19" s="6" t="inlineStr">
        <is>
          <t>SHIPPING FEE</t>
        </is>
      </c>
      <c r="E19" s="39" t="n">
        <v>27600</v>
      </c>
      <c r="F19" s="6" t="inlineStr">
        <is>
          <t>debit</t>
        </is>
      </c>
      <c r="G19" s="6" t="inlineStr">
        <is>
          <t>balance_sheet</t>
        </is>
      </c>
    </row>
    <row r="20">
      <c r="A20" s="6" t="str"/>
      <c r="B20" s="6" t="str"/>
      <c r="C20" s="6" t="str"/>
      <c r="D20" s="6" t="inlineStr">
        <is>
          <t>Storage Fee</t>
        </is>
      </c>
      <c r="E20" s="39" t="n">
        <v>32067.43</v>
      </c>
      <c r="F20" s="6" t="inlineStr">
        <is>
          <t>debit</t>
        </is>
      </c>
      <c r="G20" s="6" t="inlineStr">
        <is>
          <t>balance_sheet</t>
        </is>
      </c>
    </row>
    <row r="21">
      <c r="A21" s="6" t="str"/>
      <c r="B21" s="6" t="str"/>
      <c r="C21" s="6" t="str"/>
      <c r="D21" s="6" t="inlineStr">
        <is>
          <t>AMAZON LOGISTICS EXP.</t>
        </is>
      </c>
      <c r="E21" s="39" t="n">
        <v>171599.11</v>
      </c>
      <c r="F21" s="6" t="inlineStr">
        <is>
          <t>debit</t>
        </is>
      </c>
      <c r="G21" s="6" t="inlineStr">
        <is>
          <t>balance_sheet</t>
        </is>
      </c>
    </row>
    <row r="22">
      <c r="A22" s="6" t="str"/>
      <c r="B22" s="6" t="str"/>
      <c r="C22" s="6" t="str"/>
      <c r="D22" s="6" t="inlineStr">
        <is>
          <t>COMMISSION FEE</t>
        </is>
      </c>
      <c r="E22" s="39" t="n">
        <v>25.44</v>
      </c>
      <c r="F22" s="6" t="inlineStr">
        <is>
          <t>debit</t>
        </is>
      </c>
      <c r="G22" s="6" t="inlineStr">
        <is>
          <t>balance_sheet</t>
        </is>
      </c>
    </row>
    <row r="23">
      <c r="A23" s="6" t="str"/>
      <c r="B23" s="6" t="str"/>
      <c r="C23" s="6" t="str"/>
      <c r="D23" s="6" t="inlineStr">
        <is>
          <t>SHIPPING FEE</t>
        </is>
      </c>
      <c r="E23" s="39" t="n">
        <v>100</v>
      </c>
      <c r="F23" s="6" t="inlineStr">
        <is>
          <t>debit</t>
        </is>
      </c>
      <c r="G23" s="6" t="inlineStr">
        <is>
          <t>balance_sheet</t>
        </is>
      </c>
    </row>
    <row r="24">
      <c r="A24" s="6" t="str"/>
      <c r="B24" s="6" t="str"/>
      <c r="C24" s="6" t="str"/>
      <c r="D24" s="6" t="inlineStr">
        <is>
          <t>AMAZON LOGISCTICS EXP.</t>
        </is>
      </c>
      <c r="E24" s="39" t="n">
        <v>69048.42999999999</v>
      </c>
      <c r="F24" s="6" t="inlineStr">
        <is>
          <t>debit</t>
        </is>
      </c>
      <c r="G24" s="6" t="inlineStr">
        <is>
          <t>balance_sheet</t>
        </is>
      </c>
    </row>
    <row r="25">
      <c r="A25" s="6" t="str"/>
      <c r="B25" s="6" t="str"/>
      <c r="C25" s="6" t="str"/>
      <c r="D25" s="6" t="inlineStr">
        <is>
          <t>COMMISSION FEE</t>
        </is>
      </c>
      <c r="E25" s="39" t="n">
        <v>55.04</v>
      </c>
      <c r="F25" s="6" t="inlineStr">
        <is>
          <t>debit</t>
        </is>
      </c>
      <c r="G25" s="6" t="inlineStr">
        <is>
          <t>balance_sheet</t>
        </is>
      </c>
    </row>
    <row r="26">
      <c r="A26" s="6" t="str"/>
      <c r="B26" s="6" t="str"/>
      <c r="C26" s="6" t="str"/>
      <c r="D26" s="6" t="inlineStr">
        <is>
          <t>SHIPPING FEE</t>
        </is>
      </c>
      <c r="E26" s="39" t="n">
        <v>400</v>
      </c>
      <c r="F26" s="6" t="inlineStr">
        <is>
          <t>debit</t>
        </is>
      </c>
      <c r="G26" s="6" t="inlineStr">
        <is>
          <t>balance_sheet</t>
        </is>
      </c>
    </row>
    <row r="27">
      <c r="A27" s="6" t="str"/>
      <c r="B27" s="6" t="str"/>
      <c r="C27" s="6" t="str"/>
      <c r="D27" s="6" t="inlineStr">
        <is>
          <t>AMAZON LOGISCTICS EXP.</t>
        </is>
      </c>
      <c r="E27" s="39" t="n">
        <v>158984.23</v>
      </c>
      <c r="F27" s="6" t="inlineStr">
        <is>
          <t>debit</t>
        </is>
      </c>
      <c r="G27" s="6" t="inlineStr">
        <is>
          <t>balance_sheet</t>
        </is>
      </c>
    </row>
    <row r="28">
      <c r="A28" s="6" t="str"/>
      <c r="B28" s="6" t="str"/>
      <c r="C28" s="6" t="str"/>
      <c r="D28" s="6" t="inlineStr">
        <is>
          <t>COMMISSION FEE</t>
        </is>
      </c>
      <c r="E28" s="39" t="n">
        <v>37.54</v>
      </c>
      <c r="F28" s="6" t="inlineStr">
        <is>
          <t>debit</t>
        </is>
      </c>
      <c r="G28" s="6" t="inlineStr">
        <is>
          <t>balance_sheet</t>
        </is>
      </c>
    </row>
    <row r="29">
      <c r="A29" s="6" t="str"/>
      <c r="B29" s="6" t="str"/>
      <c r="C29" s="6" t="str"/>
      <c r="D29" s="6" t="inlineStr">
        <is>
          <t>SHIPPING FEE</t>
        </is>
      </c>
      <c r="E29" s="39" t="n">
        <v>150</v>
      </c>
      <c r="F29" s="6" t="inlineStr">
        <is>
          <t>debit</t>
        </is>
      </c>
      <c r="G29" s="6" t="inlineStr">
        <is>
          <t>balance_sheet</t>
        </is>
      </c>
    </row>
    <row r="30">
      <c r="A30" s="34" t="str"/>
      <c r="B30" s="38" t="inlineStr">
        <is>
          <t>D2C Fees</t>
        </is>
      </c>
      <c r="C30" s="34" t="str"/>
      <c r="D30" s="34" t="str"/>
      <c r="E30" s="35" t="n">
        <v>56944.23</v>
      </c>
      <c r="F30" s="34" t="inlineStr">
        <is>
          <t>5 txns</t>
        </is>
      </c>
      <c r="G30" s="34" t="inlineStr">
        <is>
          <t>balance_sheet</t>
        </is>
      </c>
    </row>
    <row r="31">
      <c r="A31" s="6" t="str"/>
      <c r="B31" s="6" t="str"/>
      <c r="C31" s="6" t="str"/>
      <c r="D31" s="6" t="inlineStr">
        <is>
          <t>COURIER &amp; POSTAGE EXPENSE</t>
        </is>
      </c>
      <c r="E31" s="39" t="n">
        <v>2931</v>
      </c>
      <c r="F31" s="6" t="inlineStr">
        <is>
          <t>debit</t>
        </is>
      </c>
      <c r="G31" s="6" t="inlineStr">
        <is>
          <t>balance_sheet</t>
        </is>
      </c>
    </row>
    <row r="32">
      <c r="A32" s="6" t="str"/>
      <c r="B32" s="6" t="str"/>
      <c r="C32" s="6" t="str"/>
      <c r="D32" s="6" t="inlineStr">
        <is>
          <t>Freight &amp; Forwarding Charges</t>
        </is>
      </c>
      <c r="E32" s="39" t="n">
        <v>20337</v>
      </c>
      <c r="F32" s="6" t="inlineStr">
        <is>
          <t>debit</t>
        </is>
      </c>
      <c r="G32" s="6" t="inlineStr">
        <is>
          <t>balance_sheet</t>
        </is>
      </c>
    </row>
    <row r="33">
      <c r="A33" s="6" t="str"/>
      <c r="B33" s="6" t="str"/>
      <c r="C33" s="6" t="str"/>
      <c r="D33" s="6" t="inlineStr">
        <is>
          <t>FREIGHT CHARGE@%</t>
        </is>
      </c>
      <c r="E33" s="39" t="n">
        <v>11364</v>
      </c>
      <c r="F33" s="6" t="inlineStr">
        <is>
          <t>debit</t>
        </is>
      </c>
      <c r="G33" s="6" t="inlineStr">
        <is>
          <t>balance_sheet</t>
        </is>
      </c>
    </row>
    <row r="34">
      <c r="A34" s="6" t="str"/>
      <c r="B34" s="6" t="str"/>
      <c r="C34" s="6" t="str"/>
      <c r="D34" s="6" t="inlineStr">
        <is>
          <t>PORTER DAILY EXP.</t>
        </is>
      </c>
      <c r="E34" s="39" t="n">
        <v>20280</v>
      </c>
      <c r="F34" s="6" t="inlineStr">
        <is>
          <t>debit</t>
        </is>
      </c>
      <c r="G34" s="6" t="inlineStr">
        <is>
          <t>balance_sheet</t>
        </is>
      </c>
    </row>
    <row r="35">
      <c r="A35" s="6" t="str"/>
      <c r="B35" s="6" t="str"/>
      <c r="C35" s="6" t="str"/>
      <c r="D35" s="6" t="inlineStr">
        <is>
          <t>SELLING &amp; DISTRIBUTION EXP.</t>
        </is>
      </c>
      <c r="E35" s="39" t="n">
        <v>2032.23</v>
      </c>
      <c r="F35" s="6" t="inlineStr">
        <is>
          <t>debit</t>
        </is>
      </c>
      <c r="G35" s="6" t="inlineStr">
        <is>
          <t>balance_sheet</t>
        </is>
      </c>
    </row>
    <row r="37">
      <c r="A37" s="24" t="inlineStr">
        <is>
          <t>G. Sales &amp; Marketing</t>
        </is>
      </c>
      <c r="B37" s="24" t="str"/>
      <c r="C37" s="24" t="str"/>
      <c r="D37" s="24" t="str"/>
      <c r="E37" s="37" t="n">
        <v>1114137.57</v>
      </c>
      <c r="F37" s="24" t="inlineStr">
        <is>
          <t>3 txns</t>
        </is>
      </c>
      <c r="G37" s="24" t="str"/>
    </row>
    <row r="38">
      <c r="A38" s="34" t="str"/>
      <c r="B38" s="38" t="inlineStr">
        <is>
          <t>Advertising &amp; Marketing</t>
        </is>
      </c>
      <c r="C38" s="34" t="str"/>
      <c r="D38" s="34" t="str"/>
      <c r="E38" s="35" t="n">
        <v>1114137.57</v>
      </c>
      <c r="F38" s="34" t="inlineStr">
        <is>
          <t>3 txns</t>
        </is>
      </c>
      <c r="G38" s="34" t="inlineStr">
        <is>
          <t>balance_sheet</t>
        </is>
      </c>
    </row>
    <row r="39">
      <c r="A39" s="6" t="str"/>
      <c r="B39" s="6" t="str"/>
      <c r="C39" s="6" t="str"/>
      <c r="D39" s="6" t="inlineStr">
        <is>
          <t>Advertisement &amp; Publicity</t>
        </is>
      </c>
      <c r="E39" s="39" t="n">
        <v>1021137.57</v>
      </c>
      <c r="F39" s="6" t="inlineStr">
        <is>
          <t>debit</t>
        </is>
      </c>
      <c r="G39" s="6" t="inlineStr">
        <is>
          <t>balance_sheet</t>
        </is>
      </c>
    </row>
    <row r="40">
      <c r="A40" s="6" t="str"/>
      <c r="B40" s="6" t="str"/>
      <c r="C40" s="6" t="str"/>
      <c r="D40" s="6" t="inlineStr">
        <is>
          <t>DESIGN EXPENSES</t>
        </is>
      </c>
      <c r="E40" s="39" t="n">
        <v>5000</v>
      </c>
      <c r="F40" s="6" t="inlineStr">
        <is>
          <t>debit</t>
        </is>
      </c>
      <c r="G40" s="6" t="inlineStr">
        <is>
          <t>balance_sheet</t>
        </is>
      </c>
    </row>
    <row r="41">
      <c r="A41" s="6" t="str"/>
      <c r="B41" s="6" t="str"/>
      <c r="C41" s="6" t="str"/>
      <c r="D41" s="6" t="inlineStr">
        <is>
          <t>MARKETING CHARGES</t>
        </is>
      </c>
      <c r="E41" s="39" t="n">
        <v>88000</v>
      </c>
      <c r="F41" s="6" t="inlineStr">
        <is>
          <t>debit</t>
        </is>
      </c>
      <c r="G41" s="6" t="inlineStr">
        <is>
          <t>balance_sheet</t>
        </is>
      </c>
    </row>
    <row r="43">
      <c r="A43" s="24" t="inlineStr">
        <is>
          <t>H. Platform Costs</t>
        </is>
      </c>
      <c r="B43" s="24" t="str"/>
      <c r="C43" s="24" t="str"/>
      <c r="D43" s="24" t="str"/>
      <c r="E43" s="37" t="n">
        <v>989.58</v>
      </c>
      <c r="F43" s="24" t="inlineStr">
        <is>
          <t>1 txns</t>
        </is>
      </c>
      <c r="G43" s="24" t="str"/>
    </row>
    <row r="44">
      <c r="A44" s="34" t="str"/>
      <c r="B44" s="38" t="inlineStr">
        <is>
          <t>Shopify Subscription</t>
        </is>
      </c>
      <c r="C44" s="34" t="str"/>
      <c r="D44" s="34" t="str"/>
      <c r="E44" s="35" t="n">
        <v>989.58</v>
      </c>
      <c r="F44" s="34" t="inlineStr">
        <is>
          <t>1 txns</t>
        </is>
      </c>
      <c r="G44" s="34" t="inlineStr">
        <is>
          <t>balance_sheet</t>
        </is>
      </c>
    </row>
    <row r="45">
      <c r="A45" s="6" t="str"/>
      <c r="B45" s="6" t="str"/>
      <c r="C45" s="6" t="str"/>
      <c r="D45" s="6" t="inlineStr">
        <is>
          <t>PLATFORM FEE</t>
        </is>
      </c>
      <c r="E45" s="39" t="n">
        <v>989.58</v>
      </c>
      <c r="F45" s="6" t="inlineStr">
        <is>
          <t>debit</t>
        </is>
      </c>
      <c r="G45" s="6" t="inlineStr">
        <is>
          <t>balance_sheet</t>
        </is>
      </c>
    </row>
    <row r="47">
      <c r="A47" s="24" t="inlineStr">
        <is>
          <t>I. Operating Expenses</t>
        </is>
      </c>
      <c r="B47" s="24" t="str"/>
      <c r="C47" s="24" t="str"/>
      <c r="D47" s="24" t="str"/>
      <c r="E47" s="37" t="n">
        <v>854117.53</v>
      </c>
      <c r="F47" s="24" t="inlineStr">
        <is>
          <t>26 txns</t>
        </is>
      </c>
      <c r="G47" s="24" t="str"/>
    </row>
    <row r="48">
      <c r="A48" s="34" t="str"/>
      <c r="B48" s="38" t="inlineStr">
        <is>
          <t>Other Operating Expenses</t>
        </is>
      </c>
      <c r="C48" s="34" t="str"/>
      <c r="D48" s="34" t="str"/>
      <c r="E48" s="35" t="n">
        <v>23187.11</v>
      </c>
      <c r="F48" s="34" t="inlineStr">
        <is>
          <t>9 txns</t>
        </is>
      </c>
      <c r="G48" s="34" t="inlineStr">
        <is>
          <t>balance_sheet</t>
        </is>
      </c>
    </row>
    <row r="49">
      <c r="A49" s="6" t="str"/>
      <c r="B49" s="6" t="str"/>
      <c r="C49" s="6" t="str"/>
      <c r="D49" s="6" t="inlineStr">
        <is>
          <t>AVANISH KUMAR (EXP. A/C)</t>
        </is>
      </c>
      <c r="E49" s="39" t="n">
        <v>2600</v>
      </c>
      <c r="F49" s="6" t="inlineStr">
        <is>
          <t>debit</t>
        </is>
      </c>
      <c r="G49" s="6" t="inlineStr">
        <is>
          <t>balance_sheet</t>
        </is>
      </c>
    </row>
    <row r="50">
      <c r="A50" s="6" t="str"/>
      <c r="B50" s="6" t="str"/>
      <c r="C50" s="6" t="str"/>
      <c r="D50" s="6" t="inlineStr">
        <is>
          <t>Commission Income</t>
        </is>
      </c>
      <c r="E50" s="39" t="n">
        <v>6521.44</v>
      </c>
      <c r="F50" s="6" t="inlineStr">
        <is>
          <t>debit</t>
        </is>
      </c>
      <c r="G50" s="6" t="inlineStr">
        <is>
          <t>balance_sheet</t>
        </is>
      </c>
    </row>
    <row r="51">
      <c r="A51" s="6" t="str"/>
      <c r="B51" s="6" t="str"/>
      <c r="C51" s="6" t="str"/>
      <c r="D51" s="6" t="inlineStr">
        <is>
          <t>PRABHASH EXP. A/C</t>
        </is>
      </c>
      <c r="E51" s="39" t="n">
        <v>-5000</v>
      </c>
      <c r="F51" s="6" t="inlineStr">
        <is>
          <t>debit</t>
        </is>
      </c>
      <c r="G51" s="6" t="inlineStr">
        <is>
          <t>balance_sheet</t>
        </is>
      </c>
    </row>
    <row r="52">
      <c r="A52" s="6" t="str"/>
      <c r="B52" s="6" t="str"/>
      <c r="C52" s="6" t="str"/>
      <c r="D52" s="6" t="inlineStr">
        <is>
          <t>Return Fee</t>
        </is>
      </c>
      <c r="E52" s="39" t="n">
        <v>300</v>
      </c>
      <c r="F52" s="6" t="inlineStr">
        <is>
          <t>debit</t>
        </is>
      </c>
      <c r="G52" s="6" t="inlineStr">
        <is>
          <t>balance_sheet</t>
        </is>
      </c>
    </row>
    <row r="53">
      <c r="A53" s="6" t="str"/>
      <c r="B53" s="6" t="str"/>
      <c r="C53" s="6" t="str"/>
      <c r="D53" s="6" t="inlineStr">
        <is>
          <t>Rounded Off</t>
        </is>
      </c>
      <c r="E53" s="39" t="n">
        <v>23.85</v>
      </c>
      <c r="F53" s="6" t="inlineStr">
        <is>
          <t>debit</t>
        </is>
      </c>
      <c r="G53" s="6" t="inlineStr">
        <is>
          <t>balance_sheet</t>
        </is>
      </c>
    </row>
    <row r="54">
      <c r="A54" s="6" t="str"/>
      <c r="B54" s="6" t="str"/>
      <c r="C54" s="6" t="str"/>
      <c r="D54" s="6" t="inlineStr">
        <is>
          <t>TRANSPOTATION EXPENSES</t>
        </is>
      </c>
      <c r="E54" s="39" t="n">
        <v>18740</v>
      </c>
      <c r="F54" s="6" t="inlineStr">
        <is>
          <t>debit</t>
        </is>
      </c>
      <c r="G54" s="6" t="inlineStr">
        <is>
          <t>balance_sheet</t>
        </is>
      </c>
    </row>
    <row r="55">
      <c r="A55" s="6" t="str"/>
      <c r="B55" s="6" t="str"/>
      <c r="C55" s="6" t="str"/>
      <c r="D55" s="6" t="inlineStr">
        <is>
          <t>Rounded Off</t>
        </is>
      </c>
      <c r="E55" s="39" t="n">
        <v>1.47</v>
      </c>
      <c r="F55" s="6" t="inlineStr">
        <is>
          <t>debit</t>
        </is>
      </c>
      <c r="G55" s="6" t="inlineStr">
        <is>
          <t>balance_sheet</t>
        </is>
      </c>
    </row>
    <row r="56">
      <c r="A56" s="6" t="str"/>
      <c r="B56" s="6" t="str"/>
      <c r="C56" s="6" t="str"/>
      <c r="D56" s="6" t="inlineStr">
        <is>
          <t>Rounded Off</t>
        </is>
      </c>
      <c r="E56" s="39" t="n">
        <v>0.09</v>
      </c>
      <c r="F56" s="6" t="inlineStr">
        <is>
          <t>debit</t>
        </is>
      </c>
      <c r="G56" s="6" t="inlineStr">
        <is>
          <t>balance_sheet</t>
        </is>
      </c>
    </row>
    <row r="57">
      <c r="A57" s="6" t="str"/>
      <c r="B57" s="6" t="str"/>
      <c r="C57" s="6" t="str"/>
      <c r="D57" s="6" t="inlineStr">
        <is>
          <t>Rounded Off</t>
        </is>
      </c>
      <c r="E57" s="39" t="n">
        <v>0.26</v>
      </c>
      <c r="F57" s="6" t="inlineStr">
        <is>
          <t>debit</t>
        </is>
      </c>
      <c r="G57" s="6" t="inlineStr">
        <is>
          <t>balance_sheet</t>
        </is>
      </c>
    </row>
    <row r="58">
      <c r="A58" s="34" t="str"/>
      <c r="B58" s="38" t="inlineStr">
        <is>
          <t>Banks &amp; Finance Charges</t>
        </is>
      </c>
      <c r="C58" s="34" t="str"/>
      <c r="D58" s="34" t="str"/>
      <c r="E58" s="35" t="n">
        <v>738</v>
      </c>
      <c r="F58" s="34" t="inlineStr">
        <is>
          <t>1 txns</t>
        </is>
      </c>
      <c r="G58" s="34" t="inlineStr">
        <is>
          <t>balance_sheet</t>
        </is>
      </c>
    </row>
    <row r="59">
      <c r="A59" s="6" t="str"/>
      <c r="B59" s="6" t="str"/>
      <c r="C59" s="6" t="str"/>
      <c r="D59" s="6" t="inlineStr">
        <is>
          <t>Bank Charges@%</t>
        </is>
      </c>
      <c r="E59" s="39" t="n">
        <v>738</v>
      </c>
      <c r="F59" s="6" t="inlineStr">
        <is>
          <t>debit</t>
        </is>
      </c>
      <c r="G59" s="6" t="inlineStr">
        <is>
          <t>balance_sheet</t>
        </is>
      </c>
    </row>
    <row r="60">
      <c r="A60" s="34" t="str"/>
      <c r="B60" s="38" t="inlineStr">
        <is>
          <t>Administrative Expenses</t>
        </is>
      </c>
      <c r="C60" s="34" t="str"/>
      <c r="D60" s="34" t="str"/>
      <c r="E60" s="35" t="n">
        <v>199143.18</v>
      </c>
      <c r="F60" s="34" t="inlineStr">
        <is>
          <t>9 txns</t>
        </is>
      </c>
      <c r="G60" s="34" t="inlineStr">
        <is>
          <t>balance_sheet</t>
        </is>
      </c>
    </row>
    <row r="61">
      <c r="A61" s="6" t="str"/>
      <c r="B61" s="6" t="str"/>
      <c r="C61" s="6" t="str"/>
      <c r="D61" s="6" t="inlineStr">
        <is>
          <t>COMMUNICATION EXP.</t>
        </is>
      </c>
      <c r="E61" s="39" t="n">
        <v>2500</v>
      </c>
      <c r="F61" s="6" t="inlineStr">
        <is>
          <t>debit</t>
        </is>
      </c>
      <c r="G61" s="6" t="inlineStr">
        <is>
          <t>balance_sheet</t>
        </is>
      </c>
    </row>
    <row r="62">
      <c r="A62" s="6" t="str"/>
      <c r="B62" s="6" t="str"/>
      <c r="C62" s="6" t="str"/>
      <c r="D62" s="6" t="inlineStr">
        <is>
          <t>OFFICE EXPENSES</t>
        </is>
      </c>
      <c r="E62" s="39" t="n">
        <v>2090</v>
      </c>
      <c r="F62" s="6" t="inlineStr">
        <is>
          <t>debit</t>
        </is>
      </c>
      <c r="G62" s="6" t="inlineStr">
        <is>
          <t>balance_sheet</t>
        </is>
      </c>
    </row>
    <row r="63">
      <c r="A63" s="6" t="str"/>
      <c r="B63" s="6" t="str"/>
      <c r="C63" s="6" t="str"/>
      <c r="D63" s="6" t="inlineStr">
        <is>
          <t>OFFICE EXPENSES @ %</t>
        </is>
      </c>
      <c r="E63" s="39" t="n">
        <v>1225</v>
      </c>
      <c r="F63" s="6" t="inlineStr">
        <is>
          <t>debit</t>
        </is>
      </c>
      <c r="G63" s="6" t="inlineStr">
        <is>
          <t>balance_sheet</t>
        </is>
      </c>
    </row>
    <row r="64">
      <c r="A64" s="6" t="str"/>
      <c r="B64" s="6" t="str"/>
      <c r="C64" s="6" t="str"/>
      <c r="D64" s="6" t="inlineStr">
        <is>
          <t>OFFICE EXPENSES @ %</t>
        </is>
      </c>
      <c r="E64" s="39" t="n">
        <v>4843</v>
      </c>
      <c r="F64" s="6" t="inlineStr">
        <is>
          <t>debit</t>
        </is>
      </c>
      <c r="G64" s="6" t="inlineStr">
        <is>
          <t>balance_sheet</t>
        </is>
      </c>
    </row>
    <row r="65">
      <c r="A65" s="6" t="str"/>
      <c r="B65" s="6" t="str"/>
      <c r="C65" s="6" t="str"/>
      <c r="D65" s="6" t="inlineStr">
        <is>
          <t>Office Rent</t>
        </is>
      </c>
      <c r="E65" s="39" t="n">
        <v>155287</v>
      </c>
      <c r="F65" s="6" t="inlineStr">
        <is>
          <t>debit</t>
        </is>
      </c>
      <c r="G65" s="6" t="inlineStr">
        <is>
          <t>balance_sheet</t>
        </is>
      </c>
    </row>
    <row r="66">
      <c r="A66" s="6" t="str"/>
      <c r="B66" s="6" t="str"/>
      <c r="C66" s="6" t="str"/>
      <c r="D66" s="6" t="inlineStr">
        <is>
          <t>Printing &amp; Stationery@%</t>
        </is>
      </c>
      <c r="E66" s="39" t="n">
        <v>4771.18</v>
      </c>
      <c r="F66" s="6" t="inlineStr">
        <is>
          <t>debit</t>
        </is>
      </c>
      <c r="G66" s="6" t="inlineStr">
        <is>
          <t>balance_sheet</t>
        </is>
      </c>
    </row>
    <row r="67">
      <c r="A67" s="6" t="str"/>
      <c r="B67" s="6" t="str"/>
      <c r="C67" s="6" t="str"/>
      <c r="D67" s="6" t="inlineStr">
        <is>
          <t>PRINTING STATIONERY EXPENSES</t>
        </is>
      </c>
      <c r="E67" s="39" t="n">
        <v>350</v>
      </c>
      <c r="F67" s="6" t="inlineStr">
        <is>
          <t>debit</t>
        </is>
      </c>
      <c r="G67" s="6" t="inlineStr">
        <is>
          <t>balance_sheet</t>
        </is>
      </c>
    </row>
    <row r="68">
      <c r="A68" s="6" t="str"/>
      <c r="B68" s="6" t="str"/>
      <c r="C68" s="6" t="str"/>
      <c r="D68" s="6" t="inlineStr">
        <is>
          <t>REPAIRE &amp; MAINTENANCE EXPENS</t>
        </is>
      </c>
      <c r="E68" s="39" t="n">
        <v>11070</v>
      </c>
      <c r="F68" s="6" t="inlineStr">
        <is>
          <t>debit</t>
        </is>
      </c>
      <c r="G68" s="6" t="inlineStr">
        <is>
          <t>balance_sheet</t>
        </is>
      </c>
    </row>
    <row r="69">
      <c r="A69" s="6" t="str"/>
      <c r="B69" s="6" t="str"/>
      <c r="C69" s="6" t="str"/>
      <c r="D69" s="6" t="inlineStr">
        <is>
          <t>VEHICAL RUNING MAINTENANCE</t>
        </is>
      </c>
      <c r="E69" s="39" t="n">
        <v>17007</v>
      </c>
      <c r="F69" s="6" t="inlineStr">
        <is>
          <t>debit</t>
        </is>
      </c>
      <c r="G69" s="6" t="inlineStr">
        <is>
          <t>balance_sheet</t>
        </is>
      </c>
    </row>
    <row r="70">
      <c r="A70" s="34" t="str"/>
      <c r="B70" s="38" t="inlineStr">
        <is>
          <t>Salaries (Admin Mgmt)</t>
        </is>
      </c>
      <c r="C70" s="34" t="str"/>
      <c r="D70" s="34" t="str"/>
      <c r="E70" s="35" t="n">
        <v>559350</v>
      </c>
      <c r="F70" s="34" t="inlineStr">
        <is>
          <t>2 txns</t>
        </is>
      </c>
      <c r="G70" s="34" t="inlineStr">
        <is>
          <t>balance_sheet</t>
        </is>
      </c>
    </row>
    <row r="71">
      <c r="A71" s="6" t="str"/>
      <c r="B71" s="6" t="str"/>
      <c r="C71" s="6" t="str"/>
      <c r="D71" s="6" t="inlineStr">
        <is>
          <t>ESI EMPLOYER CONTRIBUTTION E</t>
        </is>
      </c>
      <c r="E71" s="39" t="n">
        <v>3234</v>
      </c>
      <c r="F71" s="6" t="inlineStr">
        <is>
          <t>debit</t>
        </is>
      </c>
      <c r="G71" s="6" t="inlineStr">
        <is>
          <t>balance_sheet</t>
        </is>
      </c>
    </row>
    <row r="72">
      <c r="A72" s="6" t="str"/>
      <c r="B72" s="6" t="str"/>
      <c r="C72" s="6" t="str"/>
      <c r="D72" s="6" t="inlineStr">
        <is>
          <t>Salary Expenses</t>
        </is>
      </c>
      <c r="E72" s="39" t="n">
        <v>556116</v>
      </c>
      <c r="F72" s="6" t="inlineStr">
        <is>
          <t>debit</t>
        </is>
      </c>
      <c r="G72" s="6" t="inlineStr">
        <is>
          <t>balance_sheet</t>
        </is>
      </c>
    </row>
    <row r="73">
      <c r="A73" s="34" t="str"/>
      <c r="B73" s="38" t="inlineStr">
        <is>
          <t>Legal &amp; CA expenses</t>
        </is>
      </c>
      <c r="C73" s="34" t="str"/>
      <c r="D73" s="34" t="str"/>
      <c r="E73" s="35" t="n">
        <v>51400</v>
      </c>
      <c r="F73" s="34" t="inlineStr">
        <is>
          <t>2 txns</t>
        </is>
      </c>
      <c r="G73" s="34" t="inlineStr">
        <is>
          <t>balance_sheet</t>
        </is>
      </c>
    </row>
    <row r="74">
      <c r="A74" s="6" t="str"/>
      <c r="B74" s="6" t="str"/>
      <c r="C74" s="6" t="str"/>
      <c r="D74" s="6" t="inlineStr">
        <is>
          <t>GOVERNMENT FEE EXPENSES</t>
        </is>
      </c>
      <c r="E74" s="39" t="n">
        <v>900</v>
      </c>
      <c r="F74" s="6" t="inlineStr">
        <is>
          <t>debit</t>
        </is>
      </c>
      <c r="G74" s="6" t="inlineStr">
        <is>
          <t>balance_sheet</t>
        </is>
      </c>
    </row>
    <row r="75">
      <c r="A75" s="6" t="str"/>
      <c r="B75" s="6" t="str"/>
      <c r="C75" s="6" t="str"/>
      <c r="D75" s="6" t="inlineStr">
        <is>
          <t>LEGAL &amp; PROFESSIONAL EXPENS</t>
        </is>
      </c>
      <c r="E75" s="39" t="n">
        <v>50500</v>
      </c>
      <c r="F75" s="6" t="inlineStr">
        <is>
          <t>debit</t>
        </is>
      </c>
      <c r="G75" s="6" t="inlineStr">
        <is>
          <t>balance_sheet</t>
        </is>
      </c>
    </row>
    <row r="76">
      <c r="A76" s="34" t="str"/>
      <c r="B76" s="38" t="inlineStr">
        <is>
          <t>Miscellaneous (Travel, insurance)</t>
        </is>
      </c>
      <c r="C76" s="34" t="str"/>
      <c r="D76" s="34" t="str"/>
      <c r="E76" s="35" t="n">
        <v>13860.41</v>
      </c>
      <c r="F76" s="34" t="inlineStr">
        <is>
          <t>2 txns</t>
        </is>
      </c>
      <c r="G76" s="34" t="inlineStr">
        <is>
          <t>balance_sheet</t>
        </is>
      </c>
    </row>
    <row r="77">
      <c r="A77" s="6" t="str"/>
      <c r="B77" s="6" t="str"/>
      <c r="C77" s="6" t="str"/>
      <c r="D77" s="6" t="inlineStr">
        <is>
          <t>Miscellaneous Expenses</t>
        </is>
      </c>
      <c r="E77" s="39" t="n">
        <v>1625.41</v>
      </c>
      <c r="F77" s="6" t="inlineStr">
        <is>
          <t>debit</t>
        </is>
      </c>
      <c r="G77" s="6" t="inlineStr">
        <is>
          <t>balance_sheet</t>
        </is>
      </c>
    </row>
    <row r="78">
      <c r="A78" s="6" t="str"/>
      <c r="B78" s="6" t="str"/>
      <c r="C78" s="6" t="str"/>
      <c r="D78" s="6" t="inlineStr">
        <is>
          <t>Travelling Expenses</t>
        </is>
      </c>
      <c r="E78" s="39" t="n">
        <v>12235</v>
      </c>
      <c r="F78" s="6" t="inlineStr">
        <is>
          <t>debit</t>
        </is>
      </c>
      <c r="G78" s="6" t="inlineStr">
        <is>
          <t>balance_sheet</t>
        </is>
      </c>
    </row>
    <row r="79">
      <c r="A79" s="34" t="str"/>
      <c r="B79" s="38" t="inlineStr">
        <is>
          <t>Staff Welfare &amp; Events</t>
        </is>
      </c>
      <c r="C79" s="34" t="str"/>
      <c r="D79" s="34" t="str"/>
      <c r="E79" s="35" t="n">
        <v>6438.83</v>
      </c>
      <c r="F79" s="34" t="inlineStr">
        <is>
          <t>1 txns</t>
        </is>
      </c>
      <c r="G79" s="34" t="inlineStr">
        <is>
          <t>balance_sheet</t>
        </is>
      </c>
    </row>
    <row r="80">
      <c r="A80" s="6" t="str"/>
      <c r="B80" s="6" t="str"/>
      <c r="C80" s="6" t="str"/>
      <c r="D80" s="6" t="inlineStr">
        <is>
          <t>STAFF WELFARE EXPENSES</t>
        </is>
      </c>
      <c r="E80" s="39" t="n">
        <v>6438.83</v>
      </c>
      <c r="F80" s="6" t="inlineStr">
        <is>
          <t>debit</t>
        </is>
      </c>
      <c r="G80" s="6" t="inlineStr">
        <is>
          <t>balance_sheet</t>
        </is>
      </c>
    </row>
    <row r="82">
      <c r="A82" s="24" t="inlineStr">
        <is>
          <t>J. Non-Operating</t>
        </is>
      </c>
      <c r="B82" s="24" t="str"/>
      <c r="C82" s="24" t="str"/>
      <c r="D82" s="24" t="str"/>
      <c r="E82" s="37" t="n">
        <v>62805</v>
      </c>
      <c r="F82" s="24" t="inlineStr">
        <is>
          <t>1 txns</t>
        </is>
      </c>
      <c r="G82" s="24" t="str"/>
    </row>
    <row r="83">
      <c r="A83" s="34" t="str"/>
      <c r="B83" s="38" t="inlineStr">
        <is>
          <t>Less: Interest Expense</t>
        </is>
      </c>
      <c r="C83" s="34" t="str"/>
      <c r="D83" s="34" t="str"/>
      <c r="E83" s="35" t="n">
        <v>62805</v>
      </c>
      <c r="F83" s="34" t="inlineStr">
        <is>
          <t>1 txns</t>
        </is>
      </c>
      <c r="G83" s="34" t="inlineStr">
        <is>
          <t>balance_sheet</t>
        </is>
      </c>
    </row>
    <row r="84">
      <c r="A84" s="6" t="str"/>
      <c r="B84" s="6" t="str"/>
      <c r="C84" s="6" t="str"/>
      <c r="D84" s="6" t="inlineStr">
        <is>
          <t>INTEREST ON OD LIMIT</t>
        </is>
      </c>
      <c r="E84" s="39" t="n">
        <v>62805</v>
      </c>
      <c r="F84" s="6" t="inlineStr">
        <is>
          <t>debit</t>
        </is>
      </c>
      <c r="G84" s="6" t="inlineStr">
        <is>
          <t>balance_sheet</t>
        </is>
      </c>
    </row>
  </sheetData>
  <mergeCells count="1">
    <mergeCell ref="A1:G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cols>
    <col width="25.83203125" customWidth="1" style="2" min="1" max="1"/>
    <col width="30.83203125" customWidth="1" style="2" min="2" max="2"/>
    <col width="12.83203125" customWidth="1" style="2" min="3" max="3"/>
    <col width="45.83203125" customWidth="1" style="2" min="4" max="4"/>
    <col width="15.83203125" customWidth="1" style="2" min="5" max="5"/>
    <col width="10.83203125" customWidth="1" style="2" min="6" max="6"/>
    <col width="15.83203125" customWidth="1" style="2" min="7" max="7"/>
  </cols>
  <sheetData>
    <row r="1">
      <c r="A1" s="40" t="inlineStr">
        <is>
          <t>Aug 2025 - TRANSACTION DETAILS</t>
        </is>
      </c>
    </row>
    <row r="3">
      <c r="A3" s="5" t="inlineStr">
        <is>
          <t>Head</t>
        </is>
      </c>
      <c r="B3" s="5" t="inlineStr">
        <is>
          <t>Subhead</t>
        </is>
      </c>
      <c r="C3" s="5" t="inlineStr">
        <is>
          <t>Date</t>
        </is>
      </c>
      <c r="D3" s="5" t="inlineStr">
        <is>
          <t>Account</t>
        </is>
      </c>
      <c r="E3" s="5" t="inlineStr">
        <is>
          <t>Amount (₹)</t>
        </is>
      </c>
      <c r="F3" s="5" t="inlineStr">
        <is>
          <t>Type</t>
        </is>
      </c>
      <c r="G3" s="5" t="inlineStr">
        <is>
          <t>Source</t>
        </is>
      </c>
    </row>
    <row r="4">
      <c r="A4" s="24" t="inlineStr">
        <is>
          <t>E. COGM</t>
        </is>
      </c>
      <c r="B4" s="24" t="str"/>
      <c r="C4" s="24" t="str"/>
      <c r="D4" s="24" t="str"/>
      <c r="E4" s="37" t="n">
        <v>127493.5</v>
      </c>
      <c r="F4" s="24" t="inlineStr">
        <is>
          <t>6 txns</t>
        </is>
      </c>
      <c r="G4" s="24" t="str"/>
    </row>
    <row r="5">
      <c r="A5" s="34" t="str"/>
      <c r="B5" s="38" t="inlineStr">
        <is>
          <t>Raw Materials &amp; Inventory</t>
        </is>
      </c>
      <c r="C5" s="34" t="str"/>
      <c r="D5" s="34" t="str"/>
      <c r="E5" s="35" t="n">
        <v>1160254.98</v>
      </c>
      <c r="F5" s="34" t="inlineStr">
        <is>
          <t>1 txns</t>
        </is>
      </c>
      <c r="G5" s="34" t="inlineStr">
        <is>
          <t>calculated</t>
        </is>
      </c>
    </row>
    <row r="6">
      <c r="A6" s="6" t="str"/>
      <c r="B6" s="6" t="str"/>
      <c r="C6" s="6" t="str"/>
      <c r="D6" s="6" t="inlineStr">
        <is>
          <t>Raw Materials (Prorated by Revenue)</t>
        </is>
      </c>
      <c r="E6" s="39" t="n">
        <v>1160254.98</v>
      </c>
      <c r="F6" s="6" t="inlineStr">
        <is>
          <t>debit</t>
        </is>
      </c>
      <c r="G6" s="6" t="inlineStr">
        <is>
          <t>calculated</t>
        </is>
      </c>
    </row>
    <row r="7">
      <c r="A7" s="34" t="str"/>
      <c r="B7" s="38" t="inlineStr">
        <is>
          <t>Factory Maintenance</t>
        </is>
      </c>
      <c r="C7" s="34" t="str"/>
      <c r="D7" s="34" t="str"/>
      <c r="E7" s="35" t="n">
        <v>41327</v>
      </c>
      <c r="F7" s="34" t="inlineStr">
        <is>
          <t>2 txns</t>
        </is>
      </c>
      <c r="G7" s="34" t="inlineStr">
        <is>
          <t>balance_sheet</t>
        </is>
      </c>
    </row>
    <row r="8">
      <c r="A8" s="6" t="str"/>
      <c r="B8" s="6" t="str"/>
      <c r="C8" s="6" t="str"/>
      <c r="D8" s="6" t="inlineStr">
        <is>
          <t>Electricity &amp; Water Expenses</t>
        </is>
      </c>
      <c r="E8" s="39" t="n">
        <v>22327</v>
      </c>
      <c r="F8" s="6" t="inlineStr">
        <is>
          <t>debit</t>
        </is>
      </c>
      <c r="G8" s="6" t="inlineStr">
        <is>
          <t>balance_sheet</t>
        </is>
      </c>
    </row>
    <row r="9">
      <c r="A9" s="6" t="str"/>
      <c r="B9" s="6" t="str"/>
      <c r="C9" s="6" t="str"/>
      <c r="D9" s="6" t="inlineStr">
        <is>
          <t>POWER BACKUP &amp; MAITENANCE (D</t>
        </is>
      </c>
      <c r="E9" s="39" t="n">
        <v>19000</v>
      </c>
      <c r="F9" s="6" t="inlineStr">
        <is>
          <t>debit</t>
        </is>
      </c>
      <c r="G9" s="6" t="inlineStr">
        <is>
          <t>balance_sheet</t>
        </is>
      </c>
    </row>
    <row r="10">
      <c r="A10" s="34" t="str"/>
      <c r="B10" s="38" t="inlineStr">
        <is>
          <t>Inbound Transport</t>
        </is>
      </c>
      <c r="C10" s="34" t="str"/>
      <c r="D10" s="34" t="str"/>
      <c r="E10" s="35" t="n">
        <v>37337.5</v>
      </c>
      <c r="F10" s="34" t="inlineStr">
        <is>
          <t>2 txns</t>
        </is>
      </c>
      <c r="G10" s="34" t="inlineStr">
        <is>
          <t>balance_sheet</t>
        </is>
      </c>
    </row>
    <row r="11">
      <c r="A11" s="6" t="str"/>
      <c r="B11" s="6" t="str"/>
      <c r="C11" s="6" t="str"/>
      <c r="D11" s="6" t="inlineStr">
        <is>
          <t>FREIGHT CHARES @%</t>
        </is>
      </c>
      <c r="E11" s="39" t="n">
        <v>30735</v>
      </c>
      <c r="F11" s="6" t="inlineStr">
        <is>
          <t>debit</t>
        </is>
      </c>
      <c r="G11" s="6" t="inlineStr">
        <is>
          <t>balance_sheet</t>
        </is>
      </c>
    </row>
    <row r="12">
      <c r="A12" s="6" t="str"/>
      <c r="B12" s="6" t="str"/>
      <c r="C12" s="6" t="str"/>
      <c r="D12" s="6" t="inlineStr">
        <is>
          <t>FREIGHT CHARGES@%</t>
        </is>
      </c>
      <c r="E12" s="39" t="n">
        <v>6602.5</v>
      </c>
      <c r="F12" s="6" t="inlineStr">
        <is>
          <t>debit</t>
        </is>
      </c>
      <c r="G12" s="6" t="inlineStr">
        <is>
          <t>balance_sheet</t>
        </is>
      </c>
    </row>
    <row r="13">
      <c r="A13" s="34" t="str"/>
      <c r="B13" s="38" t="inlineStr">
        <is>
          <t>Job work</t>
        </is>
      </c>
      <c r="C13" s="34" t="str"/>
      <c r="D13" s="34" t="str"/>
      <c r="E13" s="35" t="n">
        <v>48829</v>
      </c>
      <c r="F13" s="34" t="inlineStr">
        <is>
          <t>2 txns</t>
        </is>
      </c>
      <c r="G13" s="34" t="inlineStr">
        <is>
          <t>balance_sheet</t>
        </is>
      </c>
    </row>
    <row r="14">
      <c r="A14" s="6" t="str"/>
      <c r="B14" s="6" t="str"/>
      <c r="C14" s="6" t="str"/>
      <c r="D14" s="6" t="inlineStr">
        <is>
          <t>JOB WORK</t>
        </is>
      </c>
      <c r="E14" s="39" t="n">
        <v>10150</v>
      </c>
      <c r="F14" s="6" t="inlineStr">
        <is>
          <t>debit</t>
        </is>
      </c>
      <c r="G14" s="6" t="inlineStr">
        <is>
          <t>balance_sheet</t>
        </is>
      </c>
    </row>
    <row r="15">
      <c r="A15" s="6" t="str"/>
      <c r="B15" s="6" t="str"/>
      <c r="C15" s="6" t="str"/>
      <c r="D15" s="6" t="inlineStr">
        <is>
          <t>JOB WORK @%</t>
        </is>
      </c>
      <c r="E15" s="39" t="n">
        <v>38679</v>
      </c>
      <c r="F15" s="6" t="inlineStr">
        <is>
          <t>debit</t>
        </is>
      </c>
      <c r="G15" s="6" t="inlineStr">
        <is>
          <t>balance_sheet</t>
        </is>
      </c>
    </row>
    <row r="17">
      <c r="A17" s="24" t="inlineStr">
        <is>
          <t>F. Channel &amp; Fulfillment</t>
        </is>
      </c>
      <c r="B17" s="24" t="str"/>
      <c r="C17" s="24" t="str"/>
      <c r="D17" s="24" t="str"/>
      <c r="E17" s="37" t="n">
        <v>589374.75</v>
      </c>
      <c r="F17" s="24" t="inlineStr">
        <is>
          <t>18 txns</t>
        </is>
      </c>
      <c r="G17" s="24" t="str"/>
    </row>
    <row r="18">
      <c r="A18" s="34" t="str"/>
      <c r="B18" s="38" t="inlineStr">
        <is>
          <t>Amazon Fees</t>
        </is>
      </c>
      <c r="C18" s="34" t="str"/>
      <c r="D18" s="34" t="str"/>
      <c r="E18" s="35" t="n">
        <v>545259.75</v>
      </c>
      <c r="F18" s="34" t="inlineStr">
        <is>
          <t>13 txns</t>
        </is>
      </c>
      <c r="G18" s="34" t="inlineStr">
        <is>
          <t>balance_sheet</t>
        </is>
      </c>
    </row>
    <row r="19">
      <c r="A19" s="6" t="str"/>
      <c r="B19" s="6" t="str"/>
      <c r="C19" s="6" t="str"/>
      <c r="D19" s="6" t="inlineStr">
        <is>
          <t>AMAZON LOGISTICS EXP.</t>
        </is>
      </c>
      <c r="E19" s="39" t="n">
        <v>153957.95</v>
      </c>
      <c r="F19" s="6" t="inlineStr">
        <is>
          <t>debit</t>
        </is>
      </c>
      <c r="G19" s="6" t="inlineStr">
        <is>
          <t>balance_sheet</t>
        </is>
      </c>
    </row>
    <row r="20">
      <c r="A20" s="6" t="str"/>
      <c r="B20" s="6" t="str"/>
      <c r="C20" s="6" t="str"/>
      <c r="D20" s="6" t="inlineStr">
        <is>
          <t>AMAZON LOGISTICS EXP.</t>
        </is>
      </c>
      <c r="E20" s="39" t="n">
        <v>139553.73</v>
      </c>
      <c r="F20" s="6" t="inlineStr">
        <is>
          <t>debit</t>
        </is>
      </c>
      <c r="G20" s="6" t="inlineStr">
        <is>
          <t>balance_sheet</t>
        </is>
      </c>
    </row>
    <row r="21">
      <c r="A21" s="6" t="str"/>
      <c r="B21" s="6" t="str"/>
      <c r="C21" s="6" t="str"/>
      <c r="D21" s="6" t="inlineStr">
        <is>
          <t>COMMISSION FEE</t>
        </is>
      </c>
      <c r="E21" s="39" t="n">
        <v>2819.21</v>
      </c>
      <c r="F21" s="6" t="inlineStr">
        <is>
          <t>debit</t>
        </is>
      </c>
      <c r="G21" s="6" t="inlineStr">
        <is>
          <t>balance_sheet</t>
        </is>
      </c>
    </row>
    <row r="22">
      <c r="A22" s="6" t="str"/>
      <c r="B22" s="6" t="str"/>
      <c r="C22" s="6" t="str"/>
      <c r="D22" s="6" t="inlineStr">
        <is>
          <t>SHIPPING FEE</t>
        </is>
      </c>
      <c r="E22" s="39" t="n">
        <v>10500</v>
      </c>
      <c r="F22" s="6" t="inlineStr">
        <is>
          <t>debit</t>
        </is>
      </c>
      <c r="G22" s="6" t="inlineStr">
        <is>
          <t>balance_sheet</t>
        </is>
      </c>
    </row>
    <row r="23">
      <c r="A23" s="6" t="str"/>
      <c r="B23" s="6" t="str"/>
      <c r="C23" s="6" t="str"/>
      <c r="D23" s="6" t="inlineStr">
        <is>
          <t>STORAGE FEE</t>
        </is>
      </c>
      <c r="E23" s="39" t="n">
        <v>15103.55</v>
      </c>
      <c r="F23" s="6" t="inlineStr">
        <is>
          <t>debit</t>
        </is>
      </c>
      <c r="G23" s="6" t="inlineStr">
        <is>
          <t>balance_sheet</t>
        </is>
      </c>
    </row>
    <row r="24">
      <c r="A24" s="6" t="str"/>
      <c r="B24" s="6" t="str"/>
      <c r="C24" s="6" t="str"/>
      <c r="D24" s="6" t="inlineStr">
        <is>
          <t>AMAZON LOGISCTICS EXP.</t>
        </is>
      </c>
      <c r="E24" s="39" t="n">
        <v>64154.63</v>
      </c>
      <c r="F24" s="6" t="inlineStr">
        <is>
          <t>debit</t>
        </is>
      </c>
      <c r="G24" s="6" t="inlineStr">
        <is>
          <t>balance_sheet</t>
        </is>
      </c>
    </row>
    <row r="25">
      <c r="A25" s="6" t="str"/>
      <c r="B25" s="6" t="str"/>
      <c r="C25" s="6" t="str"/>
      <c r="D25" s="6" t="inlineStr">
        <is>
          <t>COMMISSION FEE</t>
        </is>
      </c>
      <c r="E25" s="39" t="n">
        <v>2041.54</v>
      </c>
      <c r="F25" s="6" t="inlineStr">
        <is>
          <t>debit</t>
        </is>
      </c>
      <c r="G25" s="6" t="inlineStr">
        <is>
          <t>balance_sheet</t>
        </is>
      </c>
    </row>
    <row r="26">
      <c r="A26" s="6" t="str"/>
      <c r="B26" s="6" t="str"/>
      <c r="C26" s="6" t="str"/>
      <c r="D26" s="6" t="inlineStr">
        <is>
          <t>SHIPPING FEE</t>
        </is>
      </c>
      <c r="E26" s="39" t="n">
        <v>13850</v>
      </c>
      <c r="F26" s="6" t="inlineStr">
        <is>
          <t>debit</t>
        </is>
      </c>
      <c r="G26" s="6" t="inlineStr">
        <is>
          <t>balance_sheet</t>
        </is>
      </c>
    </row>
    <row r="27">
      <c r="A27" s="6" t="str"/>
      <c r="B27" s="6" t="str"/>
      <c r="C27" s="6" t="str"/>
      <c r="D27" s="6" t="inlineStr">
        <is>
          <t>STORAGE FEE</t>
        </is>
      </c>
      <c r="E27" s="39" t="n">
        <v>15417.56</v>
      </c>
      <c r="F27" s="6" t="inlineStr">
        <is>
          <t>debit</t>
        </is>
      </c>
      <c r="G27" s="6" t="inlineStr">
        <is>
          <t>balance_sheet</t>
        </is>
      </c>
    </row>
    <row r="28">
      <c r="A28" s="6" t="str"/>
      <c r="B28" s="6" t="str"/>
      <c r="C28" s="6" t="str"/>
      <c r="D28" s="6" t="inlineStr">
        <is>
          <t>AMAZON LOGISCTICS EXP.</t>
        </is>
      </c>
      <c r="E28" s="39" t="n">
        <v>107706.43</v>
      </c>
      <c r="F28" s="6" t="inlineStr">
        <is>
          <t>debit</t>
        </is>
      </c>
      <c r="G28" s="6" t="inlineStr">
        <is>
          <t>balance_sheet</t>
        </is>
      </c>
    </row>
    <row r="29">
      <c r="A29" s="6" t="str"/>
      <c r="B29" s="6" t="str"/>
      <c r="C29" s="6" t="str"/>
      <c r="D29" s="6" t="inlineStr">
        <is>
          <t>COMMISSION FEE</t>
        </is>
      </c>
      <c r="E29" s="39" t="n">
        <v>2333.15</v>
      </c>
      <c r="F29" s="6" t="inlineStr">
        <is>
          <t>debit</t>
        </is>
      </c>
      <c r="G29" s="6" t="inlineStr">
        <is>
          <t>balance_sheet</t>
        </is>
      </c>
    </row>
    <row r="30">
      <c r="A30" s="6" t="str"/>
      <c r="B30" s="6" t="str"/>
      <c r="C30" s="6" t="str"/>
      <c r="D30" s="6" t="inlineStr">
        <is>
          <t>SHIPPING FEE</t>
        </is>
      </c>
      <c r="E30" s="39" t="n">
        <v>7450</v>
      </c>
      <c r="F30" s="6" t="inlineStr">
        <is>
          <t>debit</t>
        </is>
      </c>
      <c r="G30" s="6" t="inlineStr">
        <is>
          <t>balance_sheet</t>
        </is>
      </c>
    </row>
    <row r="31">
      <c r="A31" s="6" t="str"/>
      <c r="B31" s="6" t="str"/>
      <c r="C31" s="6" t="str"/>
      <c r="D31" s="6" t="inlineStr">
        <is>
          <t>STORAGE FEE</t>
        </is>
      </c>
      <c r="E31" s="39" t="n">
        <v>10372</v>
      </c>
      <c r="F31" s="6" t="inlineStr">
        <is>
          <t>debit</t>
        </is>
      </c>
      <c r="G31" s="6" t="inlineStr">
        <is>
          <t>balance_sheet</t>
        </is>
      </c>
    </row>
    <row r="32">
      <c r="A32" s="34" t="str"/>
      <c r="B32" s="38" t="inlineStr">
        <is>
          <t>D2C Fees</t>
        </is>
      </c>
      <c r="C32" s="34" t="str"/>
      <c r="D32" s="34" t="str"/>
      <c r="E32" s="35" t="n">
        <v>44115</v>
      </c>
      <c r="F32" s="34" t="inlineStr">
        <is>
          <t>5 txns</t>
        </is>
      </c>
      <c r="G32" s="34" t="inlineStr">
        <is>
          <t>balance_sheet</t>
        </is>
      </c>
    </row>
    <row r="33">
      <c r="A33" s="6" t="str"/>
      <c r="B33" s="6" t="str"/>
      <c r="C33" s="6" t="str"/>
      <c r="D33" s="6" t="inlineStr">
        <is>
          <t>COURIER &amp; POSTAGE EXPENSE</t>
        </is>
      </c>
      <c r="E33" s="39" t="n">
        <v>8092</v>
      </c>
      <c r="F33" s="6" t="inlineStr">
        <is>
          <t>debit</t>
        </is>
      </c>
      <c r="G33" s="6" t="inlineStr">
        <is>
          <t>balance_sheet</t>
        </is>
      </c>
    </row>
    <row r="34">
      <c r="A34" s="6" t="str"/>
      <c r="B34" s="6" t="str"/>
      <c r="C34" s="6" t="str"/>
      <c r="D34" s="6" t="inlineStr">
        <is>
          <t>FREIGHT CHARGE@%</t>
        </is>
      </c>
      <c r="E34" s="39" t="n">
        <v>5190</v>
      </c>
      <c r="F34" s="6" t="inlineStr">
        <is>
          <t>debit</t>
        </is>
      </c>
      <c r="G34" s="6" t="inlineStr">
        <is>
          <t>balance_sheet</t>
        </is>
      </c>
    </row>
    <row r="35">
      <c r="A35" s="6" t="str"/>
      <c r="B35" s="6" t="str"/>
      <c r="C35" s="6" t="str"/>
      <c r="D35" s="6" t="inlineStr">
        <is>
          <t>LOADING &amp; UNLOADING EXP.</t>
        </is>
      </c>
      <c r="E35" s="39" t="n">
        <v>5000</v>
      </c>
      <c r="F35" s="6" t="inlineStr">
        <is>
          <t>debit</t>
        </is>
      </c>
      <c r="G35" s="6" t="inlineStr">
        <is>
          <t>balance_sheet</t>
        </is>
      </c>
    </row>
    <row r="36">
      <c r="A36" s="6" t="str"/>
      <c r="B36" s="6" t="str"/>
      <c r="C36" s="6" t="str"/>
      <c r="D36" s="6" t="inlineStr">
        <is>
          <t>PORTER DAILY EXP.</t>
        </is>
      </c>
      <c r="E36" s="39" t="n">
        <v>22833</v>
      </c>
      <c r="F36" s="6" t="inlineStr">
        <is>
          <t>debit</t>
        </is>
      </c>
      <c r="G36" s="6" t="inlineStr">
        <is>
          <t>balance_sheet</t>
        </is>
      </c>
    </row>
    <row r="37">
      <c r="A37" s="6" t="str"/>
      <c r="B37" s="6" t="str"/>
      <c r="C37" s="6" t="str"/>
      <c r="D37" s="6" t="inlineStr">
        <is>
          <t>SELLING &amp; DISTRIBUTION EXP.</t>
        </is>
      </c>
      <c r="E37" s="39" t="n">
        <v>3000</v>
      </c>
      <c r="F37" s="6" t="inlineStr">
        <is>
          <t>debit</t>
        </is>
      </c>
      <c r="G37" s="6" t="inlineStr">
        <is>
          <t>balance_sheet</t>
        </is>
      </c>
    </row>
    <row r="39">
      <c r="A39" s="24" t="inlineStr">
        <is>
          <t>G. Sales &amp; Marketing</t>
        </is>
      </c>
      <c r="B39" s="24" t="str"/>
      <c r="C39" s="24" t="str"/>
      <c r="D39" s="24" t="str"/>
      <c r="E39" s="37" t="n">
        <v>617050.79</v>
      </c>
      <c r="F39" s="24" t="inlineStr">
        <is>
          <t>3 txns</t>
        </is>
      </c>
      <c r="G39" s="24" t="str"/>
    </row>
    <row r="40">
      <c r="A40" s="34" t="str"/>
      <c r="B40" s="38" t="inlineStr">
        <is>
          <t>Advertising &amp; Marketing</t>
        </is>
      </c>
      <c r="C40" s="34" t="str"/>
      <c r="D40" s="34" t="str"/>
      <c r="E40" s="35" t="n">
        <v>617050.79</v>
      </c>
      <c r="F40" s="34" t="inlineStr">
        <is>
          <t>3 txns</t>
        </is>
      </c>
      <c r="G40" s="34" t="inlineStr">
        <is>
          <t>balance_sheet</t>
        </is>
      </c>
    </row>
    <row r="41">
      <c r="A41" s="6" t="str"/>
      <c r="B41" s="6" t="str"/>
      <c r="C41" s="6" t="str"/>
      <c r="D41" s="6" t="inlineStr">
        <is>
          <t>Advertisement &amp; Publicity</t>
        </is>
      </c>
      <c r="E41" s="39" t="n">
        <v>589225.79</v>
      </c>
      <c r="F41" s="6" t="inlineStr">
        <is>
          <t>debit</t>
        </is>
      </c>
      <c r="G41" s="6" t="inlineStr">
        <is>
          <t>balance_sheet</t>
        </is>
      </c>
    </row>
    <row r="42">
      <c r="A42" s="6" t="str"/>
      <c r="B42" s="6" t="str"/>
      <c r="C42" s="6" t="str"/>
      <c r="D42" s="6" t="inlineStr">
        <is>
          <t>BUSINESS PROMOTION EXPENSES</t>
        </is>
      </c>
      <c r="E42" s="39" t="n">
        <v>23170</v>
      </c>
      <c r="F42" s="6" t="inlineStr">
        <is>
          <t>debit</t>
        </is>
      </c>
      <c r="G42" s="6" t="inlineStr">
        <is>
          <t>balance_sheet</t>
        </is>
      </c>
    </row>
    <row r="43">
      <c r="A43" s="6" t="str"/>
      <c r="B43" s="6" t="str"/>
      <c r="C43" s="6" t="str"/>
      <c r="D43" s="6" t="inlineStr">
        <is>
          <t>MARKETING CHARGES</t>
        </is>
      </c>
      <c r="E43" s="39" t="n">
        <v>4655</v>
      </c>
      <c r="F43" s="6" t="inlineStr">
        <is>
          <t>debit</t>
        </is>
      </c>
      <c r="G43" s="6" t="inlineStr">
        <is>
          <t>balance_sheet</t>
        </is>
      </c>
    </row>
    <row r="45">
      <c r="A45" s="24" t="inlineStr">
        <is>
          <t>H. Platform Costs</t>
        </is>
      </c>
      <c r="B45" s="24" t="str"/>
      <c r="C45" s="24" t="str"/>
      <c r="D45" s="24" t="str"/>
      <c r="E45" s="37" t="n">
        <v>399.79</v>
      </c>
      <c r="F45" s="24" t="inlineStr">
        <is>
          <t>1 txns</t>
        </is>
      </c>
      <c r="G45" s="24" t="str"/>
    </row>
    <row r="46">
      <c r="A46" s="34" t="str"/>
      <c r="B46" s="38" t="inlineStr">
        <is>
          <t>Shopify Subscription</t>
        </is>
      </c>
      <c r="C46" s="34" t="str"/>
      <c r="D46" s="34" t="str"/>
      <c r="E46" s="35" t="n">
        <v>399.79</v>
      </c>
      <c r="F46" s="34" t="inlineStr">
        <is>
          <t>1 txns</t>
        </is>
      </c>
      <c r="G46" s="34" t="inlineStr">
        <is>
          <t>balance_sheet</t>
        </is>
      </c>
    </row>
    <row r="47">
      <c r="A47" s="6" t="str"/>
      <c r="B47" s="6" t="str"/>
      <c r="C47" s="6" t="str"/>
      <c r="D47" s="6" t="inlineStr">
        <is>
          <t>PLATFORM FEE</t>
        </is>
      </c>
      <c r="E47" s="39" t="n">
        <v>399.79</v>
      </c>
      <c r="F47" s="6" t="inlineStr">
        <is>
          <t>debit</t>
        </is>
      </c>
      <c r="G47" s="6" t="inlineStr">
        <is>
          <t>balance_sheet</t>
        </is>
      </c>
    </row>
    <row r="49">
      <c r="A49" s="24" t="inlineStr">
        <is>
          <t>I. Operating Expenses</t>
        </is>
      </c>
      <c r="B49" s="24" t="str"/>
      <c r="C49" s="24" t="str"/>
      <c r="D49" s="24" t="str"/>
      <c r="E49" s="37" t="n">
        <v>762086.89</v>
      </c>
      <c r="F49" s="24" t="inlineStr">
        <is>
          <t>30 txns</t>
        </is>
      </c>
      <c r="G49" s="24" t="str"/>
    </row>
    <row r="50">
      <c r="A50" s="34" t="str"/>
      <c r="B50" s="38" t="inlineStr">
        <is>
          <t>Legal &amp; CA expenses</t>
        </is>
      </c>
      <c r="C50" s="34" t="str"/>
      <c r="D50" s="34" t="str"/>
      <c r="E50" s="35" t="n">
        <v>62150</v>
      </c>
      <c r="F50" s="34" t="inlineStr">
        <is>
          <t>2 txns</t>
        </is>
      </c>
      <c r="G50" s="34" t="inlineStr">
        <is>
          <t>balance_sheet</t>
        </is>
      </c>
    </row>
    <row r="51">
      <c r="A51" s="6" t="str"/>
      <c r="B51" s="6" t="str"/>
      <c r="C51" s="6" t="str"/>
      <c r="D51" s="6" t="inlineStr">
        <is>
          <t>ACCOUNTING &amp; RETURN FILLING</t>
        </is>
      </c>
      <c r="E51" s="39" t="n">
        <v>4750</v>
      </c>
      <c r="F51" s="6" t="inlineStr">
        <is>
          <t>debit</t>
        </is>
      </c>
      <c r="G51" s="6" t="inlineStr">
        <is>
          <t>balance_sheet</t>
        </is>
      </c>
    </row>
    <row r="52">
      <c r="A52" s="6" t="str"/>
      <c r="B52" s="6" t="str"/>
      <c r="C52" s="6" t="str"/>
      <c r="D52" s="6" t="inlineStr">
        <is>
          <t>LEGAL &amp; PROFESSIONAL EXPENS</t>
        </is>
      </c>
      <c r="E52" s="39" t="n">
        <v>57400</v>
      </c>
      <c r="F52" s="6" t="inlineStr">
        <is>
          <t>debit</t>
        </is>
      </c>
      <c r="G52" s="6" t="inlineStr">
        <is>
          <t>balance_sheet</t>
        </is>
      </c>
    </row>
    <row r="53">
      <c r="A53" s="34" t="str"/>
      <c r="B53" s="38" t="inlineStr">
        <is>
          <t>Other Operating Expenses</t>
        </is>
      </c>
      <c r="C53" s="34" t="str"/>
      <c r="D53" s="34" t="str"/>
      <c r="E53" s="35" t="n">
        <v>33765.96</v>
      </c>
      <c r="F53" s="34" t="inlineStr">
        <is>
          <t>12 txns</t>
        </is>
      </c>
      <c r="G53" s="34" t="inlineStr">
        <is>
          <t>balance_sheet</t>
        </is>
      </c>
    </row>
    <row r="54">
      <c r="A54" s="6" t="str"/>
      <c r="B54" s="6" t="str"/>
      <c r="C54" s="6" t="str"/>
      <c r="D54" s="6" t="inlineStr">
        <is>
          <t>AVANISH KUMAR (EXP. A/C)</t>
        </is>
      </c>
      <c r="E54" s="39" t="n">
        <v>-5000</v>
      </c>
      <c r="F54" s="6" t="inlineStr">
        <is>
          <t>debit</t>
        </is>
      </c>
      <c r="G54" s="6" t="inlineStr">
        <is>
          <t>balance_sheet</t>
        </is>
      </c>
    </row>
    <row r="55">
      <c r="A55" s="6" t="str"/>
      <c r="B55" s="6" t="str"/>
      <c r="C55" s="6" t="str"/>
      <c r="D55" s="6" t="inlineStr">
        <is>
          <t>PRABHASH EXP. A/C</t>
        </is>
      </c>
      <c r="E55" s="39" t="n">
        <v>-5000</v>
      </c>
      <c r="F55" s="6" t="inlineStr">
        <is>
          <t>debit</t>
        </is>
      </c>
      <c r="G55" s="6" t="inlineStr">
        <is>
          <t>balance_sheet</t>
        </is>
      </c>
    </row>
    <row r="56">
      <c r="A56" s="6" t="str"/>
      <c r="B56" s="6" t="str"/>
      <c r="C56" s="6" t="str"/>
      <c r="D56" s="6" t="inlineStr">
        <is>
          <t>RATE DIFFERENCE</t>
        </is>
      </c>
      <c r="E56" s="39" t="n">
        <v>9760</v>
      </c>
      <c r="F56" s="6" t="inlineStr">
        <is>
          <t>debit</t>
        </is>
      </c>
      <c r="G56" s="6" t="inlineStr">
        <is>
          <t>balance_sheet</t>
        </is>
      </c>
    </row>
    <row r="57">
      <c r="A57" s="6" t="str"/>
      <c r="B57" s="6" t="str"/>
      <c r="C57" s="6" t="str"/>
      <c r="D57" s="6" t="inlineStr">
        <is>
          <t>Rounded Off</t>
        </is>
      </c>
      <c r="E57" s="39" t="n">
        <v>22.29</v>
      </c>
      <c r="F57" s="6" t="inlineStr">
        <is>
          <t>debit</t>
        </is>
      </c>
      <c r="G57" s="6" t="inlineStr">
        <is>
          <t>balance_sheet</t>
        </is>
      </c>
    </row>
    <row r="58">
      <c r="A58" s="6" t="str"/>
      <c r="B58" s="6" t="str"/>
      <c r="C58" s="6" t="str"/>
      <c r="D58" s="6" t="inlineStr">
        <is>
          <t>TRANSPOTATION EXPENSES</t>
        </is>
      </c>
      <c r="E58" s="39" t="n">
        <v>23382</v>
      </c>
      <c r="F58" s="6" t="inlineStr">
        <is>
          <t>debit</t>
        </is>
      </c>
      <c r="G58" s="6" t="inlineStr">
        <is>
          <t>balance_sheet</t>
        </is>
      </c>
    </row>
    <row r="59">
      <c r="A59" s="6" t="str"/>
      <c r="B59" s="6" t="str"/>
      <c r="C59" s="6" t="str"/>
      <c r="D59" s="6" t="inlineStr">
        <is>
          <t>WEBSITE &amp; DEVLOPMENT EXP.</t>
        </is>
      </c>
      <c r="E59" s="39" t="n">
        <v>10000</v>
      </c>
      <c r="F59" s="6" t="inlineStr">
        <is>
          <t>debit</t>
        </is>
      </c>
      <c r="G59" s="6" t="inlineStr">
        <is>
          <t>balance_sheet</t>
        </is>
      </c>
    </row>
    <row r="60">
      <c r="A60" s="6" t="str"/>
      <c r="B60" s="6" t="str"/>
      <c r="C60" s="6" t="str"/>
      <c r="D60" s="6" t="inlineStr">
        <is>
          <t>RETURN FEE</t>
        </is>
      </c>
      <c r="E60" s="39" t="n">
        <v>150</v>
      </c>
      <c r="F60" s="6" t="inlineStr">
        <is>
          <t>debit</t>
        </is>
      </c>
      <c r="G60" s="6" t="inlineStr">
        <is>
          <t>balance_sheet</t>
        </is>
      </c>
    </row>
    <row r="61">
      <c r="A61" s="6" t="str"/>
      <c r="B61" s="6" t="str"/>
      <c r="C61" s="6" t="str"/>
      <c r="D61" s="6" t="inlineStr">
        <is>
          <t>Rounded Off</t>
        </is>
      </c>
      <c r="E61" s="39" t="n">
        <v>0.58</v>
      </c>
      <c r="F61" s="6" t="inlineStr">
        <is>
          <t>debit</t>
        </is>
      </c>
      <c r="G61" s="6" t="inlineStr">
        <is>
          <t>balance_sheet</t>
        </is>
      </c>
    </row>
    <row r="62">
      <c r="A62" s="6" t="str"/>
      <c r="B62" s="6" t="str"/>
      <c r="C62" s="6" t="str"/>
      <c r="D62" s="6" t="inlineStr">
        <is>
          <t>RETURN FEE</t>
        </is>
      </c>
      <c r="E62" s="39" t="n">
        <v>200</v>
      </c>
      <c r="F62" s="6" t="inlineStr">
        <is>
          <t>debit</t>
        </is>
      </c>
      <c r="G62" s="6" t="inlineStr">
        <is>
          <t>balance_sheet</t>
        </is>
      </c>
    </row>
    <row r="63">
      <c r="A63" s="6" t="str"/>
      <c r="B63" s="6" t="str"/>
      <c r="C63" s="6" t="str"/>
      <c r="D63" s="6" t="inlineStr">
        <is>
          <t>Rounded Off</t>
        </is>
      </c>
      <c r="E63" s="39" t="n">
        <v>0.93</v>
      </c>
      <c r="F63" s="6" t="inlineStr">
        <is>
          <t>debit</t>
        </is>
      </c>
      <c r="G63" s="6" t="inlineStr">
        <is>
          <t>balance_sheet</t>
        </is>
      </c>
    </row>
    <row r="64">
      <c r="A64" s="6" t="str"/>
      <c r="B64" s="6" t="str"/>
      <c r="C64" s="6" t="str"/>
      <c r="D64" s="6" t="inlineStr">
        <is>
          <t>RETURN FEE</t>
        </is>
      </c>
      <c r="E64" s="39" t="n">
        <v>250</v>
      </c>
      <c r="F64" s="6" t="inlineStr">
        <is>
          <t>debit</t>
        </is>
      </c>
      <c r="G64" s="6" t="inlineStr">
        <is>
          <t>balance_sheet</t>
        </is>
      </c>
    </row>
    <row r="65">
      <c r="A65" s="6" t="str"/>
      <c r="B65" s="6" t="str"/>
      <c r="C65" s="6" t="str"/>
      <c r="D65" s="6" t="inlineStr">
        <is>
          <t>Rounded Off</t>
        </is>
      </c>
      <c r="E65" s="39" t="n">
        <v>0.16</v>
      </c>
      <c r="F65" s="6" t="inlineStr">
        <is>
          <t>debit</t>
        </is>
      </c>
      <c r="G65" s="6" t="inlineStr">
        <is>
          <t>balance_sheet</t>
        </is>
      </c>
    </row>
    <row r="66">
      <c r="A66" s="34" t="str"/>
      <c r="B66" s="38" t="inlineStr">
        <is>
          <t>Banks &amp; Finance Charges</t>
        </is>
      </c>
      <c r="C66" s="34" t="str"/>
      <c r="D66" s="34" t="str"/>
      <c r="E66" s="35" t="n">
        <v>11.8</v>
      </c>
      <c r="F66" s="34" t="inlineStr">
        <is>
          <t>1 txns</t>
        </is>
      </c>
      <c r="G66" s="34" t="inlineStr">
        <is>
          <t>balance_sheet</t>
        </is>
      </c>
    </row>
    <row r="67">
      <c r="A67" s="6" t="str"/>
      <c r="B67" s="6" t="str"/>
      <c r="C67" s="6" t="str"/>
      <c r="D67" s="6" t="inlineStr">
        <is>
          <t>BANK CHARGE EXPENCE</t>
        </is>
      </c>
      <c r="E67" s="39" t="n">
        <v>11.8</v>
      </c>
      <c r="F67" s="6" t="inlineStr">
        <is>
          <t>debit</t>
        </is>
      </c>
      <c r="G67" s="6" t="inlineStr">
        <is>
          <t>balance_sheet</t>
        </is>
      </c>
    </row>
    <row r="68">
      <c r="A68" s="34" t="str"/>
      <c r="B68" s="38" t="inlineStr">
        <is>
          <t>Salaries (Admin Mgmt)</t>
        </is>
      </c>
      <c r="C68" s="34" t="str"/>
      <c r="D68" s="34" t="str"/>
      <c r="E68" s="35" t="n">
        <v>424800</v>
      </c>
      <c r="F68" s="34" t="inlineStr">
        <is>
          <t>2 txns</t>
        </is>
      </c>
      <c r="G68" s="34" t="inlineStr">
        <is>
          <t>balance_sheet</t>
        </is>
      </c>
    </row>
    <row r="69">
      <c r="A69" s="6" t="str"/>
      <c r="B69" s="6" t="str"/>
      <c r="C69" s="6" t="str"/>
      <c r="D69" s="6" t="inlineStr">
        <is>
          <t>ESI EMPLOYER CONTRIBUTTION E</t>
        </is>
      </c>
      <c r="E69" s="39" t="n">
        <v>3150</v>
      </c>
      <c r="F69" s="6" t="inlineStr">
        <is>
          <t>debit</t>
        </is>
      </c>
      <c r="G69" s="6" t="inlineStr">
        <is>
          <t>balance_sheet</t>
        </is>
      </c>
    </row>
    <row r="70">
      <c r="A70" s="6" t="str"/>
      <c r="B70" s="6" t="str"/>
      <c r="C70" s="6" t="str"/>
      <c r="D70" s="6" t="inlineStr">
        <is>
          <t>Salary Expenses</t>
        </is>
      </c>
      <c r="E70" s="39" t="n">
        <v>421650</v>
      </c>
      <c r="F70" s="6" t="inlineStr">
        <is>
          <t>debit</t>
        </is>
      </c>
      <c r="G70" s="6" t="inlineStr">
        <is>
          <t>balance_sheet</t>
        </is>
      </c>
    </row>
    <row r="71">
      <c r="A71" s="34" t="str"/>
      <c r="B71" s="38" t="inlineStr">
        <is>
          <t>Miscellaneous (Travel, insurance)</t>
        </is>
      </c>
      <c r="C71" s="34" t="str"/>
      <c r="D71" s="34" t="str"/>
      <c r="E71" s="35" t="n">
        <v>20865</v>
      </c>
      <c r="F71" s="34" t="inlineStr">
        <is>
          <t>2 txns</t>
        </is>
      </c>
      <c r="G71" s="34" t="inlineStr">
        <is>
          <t>balance_sheet</t>
        </is>
      </c>
    </row>
    <row r="72">
      <c r="A72" s="6" t="str"/>
      <c r="B72" s="6" t="str"/>
      <c r="C72" s="6" t="str"/>
      <c r="D72" s="6" t="inlineStr">
        <is>
          <t>HOTEL EXPENSES</t>
        </is>
      </c>
      <c r="E72" s="39" t="n">
        <v>7840</v>
      </c>
      <c r="F72" s="6" t="inlineStr">
        <is>
          <t>debit</t>
        </is>
      </c>
      <c r="G72" s="6" t="inlineStr">
        <is>
          <t>balance_sheet</t>
        </is>
      </c>
    </row>
    <row r="73">
      <c r="A73" s="6" t="str"/>
      <c r="B73" s="6" t="str"/>
      <c r="C73" s="6" t="str"/>
      <c r="D73" s="6" t="inlineStr">
        <is>
          <t>Travelling Expenses</t>
        </is>
      </c>
      <c r="E73" s="39" t="n">
        <v>13025</v>
      </c>
      <c r="F73" s="6" t="inlineStr">
        <is>
          <t>debit</t>
        </is>
      </c>
      <c r="G73" s="6" t="inlineStr">
        <is>
          <t>balance_sheet</t>
        </is>
      </c>
    </row>
    <row r="74">
      <c r="A74" s="34" t="str"/>
      <c r="B74" s="38" t="inlineStr">
        <is>
          <t>Administrative Expenses</t>
        </is>
      </c>
      <c r="C74" s="34" t="str"/>
      <c r="D74" s="34" t="str"/>
      <c r="E74" s="35" t="n">
        <v>211596.13</v>
      </c>
      <c r="F74" s="34" t="inlineStr">
        <is>
          <t>9 txns</t>
        </is>
      </c>
      <c r="G74" s="34" t="inlineStr">
        <is>
          <t>balance_sheet</t>
        </is>
      </c>
    </row>
    <row r="75">
      <c r="A75" s="6" t="str"/>
      <c r="B75" s="6" t="str"/>
      <c r="C75" s="6" t="str"/>
      <c r="D75" s="6" t="inlineStr">
        <is>
          <t>OFFICE EXPENSES</t>
        </is>
      </c>
      <c r="E75" s="39" t="n">
        <v>1302</v>
      </c>
      <c r="F75" s="6" t="inlineStr">
        <is>
          <t>debit</t>
        </is>
      </c>
      <c r="G75" s="6" t="inlineStr">
        <is>
          <t>balance_sheet</t>
        </is>
      </c>
    </row>
    <row r="76">
      <c r="A76" s="6" t="str"/>
      <c r="B76" s="6" t="str"/>
      <c r="C76" s="6" t="str"/>
      <c r="D76" s="6" t="inlineStr">
        <is>
          <t>OFFICE EXPENSES @ %</t>
        </is>
      </c>
      <c r="E76" s="39" t="n">
        <v>479</v>
      </c>
      <c r="F76" s="6" t="inlineStr">
        <is>
          <t>debit</t>
        </is>
      </c>
      <c r="G76" s="6" t="inlineStr">
        <is>
          <t>balance_sheet</t>
        </is>
      </c>
    </row>
    <row r="77">
      <c r="A77" s="6" t="str"/>
      <c r="B77" s="6" t="str"/>
      <c r="C77" s="6" t="str"/>
      <c r="D77" s="6" t="inlineStr">
        <is>
          <t>Office Maintenance Expenses</t>
        </is>
      </c>
      <c r="E77" s="39" t="n">
        <v>1200</v>
      </c>
      <c r="F77" s="6" t="inlineStr">
        <is>
          <t>debit</t>
        </is>
      </c>
      <c r="G77" s="6" t="inlineStr">
        <is>
          <t>balance_sheet</t>
        </is>
      </c>
    </row>
    <row r="78">
      <c r="A78" s="6" t="str"/>
      <c r="B78" s="6" t="str"/>
      <c r="C78" s="6" t="str"/>
      <c r="D78" s="6" t="inlineStr">
        <is>
          <t>Office Rent</t>
        </is>
      </c>
      <c r="E78" s="39" t="n">
        <v>144453.13</v>
      </c>
      <c r="F78" s="6" t="inlineStr">
        <is>
          <t>debit</t>
        </is>
      </c>
      <c r="G78" s="6" t="inlineStr">
        <is>
          <t>balance_sheet</t>
        </is>
      </c>
    </row>
    <row r="79">
      <c r="A79" s="6" t="str"/>
      <c r="B79" s="6" t="str"/>
      <c r="C79" s="6" t="str"/>
      <c r="D79" s="6" t="inlineStr">
        <is>
          <t>Printing &amp; Stationery@%</t>
        </is>
      </c>
      <c r="E79" s="39" t="n">
        <v>24250</v>
      </c>
      <c r="F79" s="6" t="inlineStr">
        <is>
          <t>debit</t>
        </is>
      </c>
      <c r="G79" s="6" t="inlineStr">
        <is>
          <t>balance_sheet</t>
        </is>
      </c>
    </row>
    <row r="80">
      <c r="A80" s="6" t="str"/>
      <c r="B80" s="6" t="str"/>
      <c r="C80" s="6" t="str"/>
      <c r="D80" s="6" t="inlineStr">
        <is>
          <t>PRINTING STATIONERY EXPENSES</t>
        </is>
      </c>
      <c r="E80" s="39" t="n">
        <v>7700</v>
      </c>
      <c r="F80" s="6" t="inlineStr">
        <is>
          <t>debit</t>
        </is>
      </c>
      <c r="G80" s="6" t="inlineStr">
        <is>
          <t>balance_sheet</t>
        </is>
      </c>
    </row>
    <row r="81">
      <c r="A81" s="6" t="str"/>
      <c r="B81" s="6" t="str"/>
      <c r="C81" s="6" t="str"/>
      <c r="D81" s="6" t="inlineStr">
        <is>
          <t>REPAIRE &amp; MAINTENANCE EXPENS</t>
        </is>
      </c>
      <c r="E81" s="39" t="n">
        <v>4356.6</v>
      </c>
      <c r="F81" s="6" t="inlineStr">
        <is>
          <t>debit</t>
        </is>
      </c>
      <c r="G81" s="6" t="inlineStr">
        <is>
          <t>balance_sheet</t>
        </is>
      </c>
    </row>
    <row r="82">
      <c r="A82" s="6" t="str"/>
      <c r="B82" s="6" t="str"/>
      <c r="C82" s="6" t="str"/>
      <c r="D82" s="6" t="inlineStr">
        <is>
          <t>REPAIRE &amp; MAINTENANCE EXPENS</t>
        </is>
      </c>
      <c r="E82" s="39" t="n">
        <v>4900</v>
      </c>
      <c r="F82" s="6" t="inlineStr">
        <is>
          <t>debit</t>
        </is>
      </c>
      <c r="G82" s="6" t="inlineStr">
        <is>
          <t>balance_sheet</t>
        </is>
      </c>
    </row>
    <row r="83">
      <c r="A83" s="6" t="str"/>
      <c r="B83" s="6" t="str"/>
      <c r="C83" s="6" t="str"/>
      <c r="D83" s="6" t="inlineStr">
        <is>
          <t>VEHICAL RUNING MAINTENANCE</t>
        </is>
      </c>
      <c r="E83" s="39" t="n">
        <v>22955.4</v>
      </c>
      <c r="F83" s="6" t="inlineStr">
        <is>
          <t>debit</t>
        </is>
      </c>
      <c r="G83" s="6" t="inlineStr">
        <is>
          <t>balance_sheet</t>
        </is>
      </c>
    </row>
    <row r="84">
      <c r="A84" s="34" t="str"/>
      <c r="B84" s="38" t="inlineStr">
        <is>
          <t>Staff Welfare &amp; Events</t>
        </is>
      </c>
      <c r="C84" s="34" t="str"/>
      <c r="D84" s="34" t="str"/>
      <c r="E84" s="35" t="n">
        <v>8898</v>
      </c>
      <c r="F84" s="34" t="inlineStr">
        <is>
          <t>2 txns</t>
        </is>
      </c>
      <c r="G84" s="34" t="inlineStr">
        <is>
          <t>balance_sheet</t>
        </is>
      </c>
    </row>
    <row r="85">
      <c r="A85" s="6" t="str"/>
      <c r="B85" s="6" t="str"/>
      <c r="C85" s="6" t="str"/>
      <c r="D85" s="6" t="inlineStr">
        <is>
          <t>STAFF WELFARE EXPENSES</t>
        </is>
      </c>
      <c r="E85" s="39" t="n">
        <v>3898</v>
      </c>
      <c r="F85" s="6" t="inlineStr">
        <is>
          <t>debit</t>
        </is>
      </c>
      <c r="G85" s="6" t="inlineStr">
        <is>
          <t>balance_sheet</t>
        </is>
      </c>
    </row>
    <row r="86">
      <c r="A86" s="6" t="str"/>
      <c r="B86" s="6" t="str"/>
      <c r="C86" s="6" t="str"/>
      <c r="D86" s="6" t="inlineStr">
        <is>
          <t>UNIFORM EXPENSES</t>
        </is>
      </c>
      <c r="E86" s="39" t="n">
        <v>5000</v>
      </c>
      <c r="F86" s="6" t="inlineStr">
        <is>
          <t>debit</t>
        </is>
      </c>
      <c r="G86" s="6" t="inlineStr">
        <is>
          <t>balance_sheet</t>
        </is>
      </c>
    </row>
    <row r="88">
      <c r="A88" s="24" t="inlineStr">
        <is>
          <t>J. Non-Operating</t>
        </is>
      </c>
      <c r="B88" s="24" t="str"/>
      <c r="C88" s="24" t="str"/>
      <c r="D88" s="24" t="str"/>
      <c r="E88" s="37" t="n">
        <v>63074</v>
      </c>
      <c r="F88" s="24" t="inlineStr">
        <is>
          <t>1 txns</t>
        </is>
      </c>
      <c r="G88" s="24" t="str"/>
    </row>
    <row r="89">
      <c r="A89" s="34" t="str"/>
      <c r="B89" s="38" t="inlineStr">
        <is>
          <t>Less: Interest Expense</t>
        </is>
      </c>
      <c r="C89" s="34" t="str"/>
      <c r="D89" s="34" t="str"/>
      <c r="E89" s="35" t="n">
        <v>63074</v>
      </c>
      <c r="F89" s="34" t="inlineStr">
        <is>
          <t>1 txns</t>
        </is>
      </c>
      <c r="G89" s="34" t="inlineStr">
        <is>
          <t>balance_sheet</t>
        </is>
      </c>
    </row>
    <row r="90">
      <c r="A90" s="6" t="str"/>
      <c r="B90" s="6" t="str"/>
      <c r="C90" s="6" t="str"/>
      <c r="D90" s="6" t="inlineStr">
        <is>
          <t>INTEREST ON OD LIMIT</t>
        </is>
      </c>
      <c r="E90" s="39" t="n">
        <v>63074</v>
      </c>
      <c r="F90" s="6" t="inlineStr">
        <is>
          <t>debit</t>
        </is>
      </c>
      <c r="G90" s="6" t="inlineStr">
        <is>
          <t>balance_sheet</t>
        </is>
      </c>
    </row>
  </sheetData>
  <mergeCells count="1">
    <mergeCell ref="A1:G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cols>
    <col width="25.83203125" customWidth="1" style="2" min="1" max="1"/>
    <col width="30.83203125" customWidth="1" style="2" min="2" max="2"/>
    <col width="12.83203125" customWidth="1" style="2" min="3" max="3"/>
    <col width="45.83203125" customWidth="1" style="2" min="4" max="4"/>
    <col width="15.83203125" customWidth="1" style="2" min="5" max="5"/>
    <col width="10.83203125" customWidth="1" style="2" min="6" max="6"/>
    <col width="15.83203125" customWidth="1" style="2" min="7" max="7"/>
  </cols>
  <sheetData>
    <row r="1">
      <c r="A1" s="40" t="inlineStr">
        <is>
          <t>Jul 2025 - TRANSACTION DETAILS</t>
        </is>
      </c>
    </row>
    <row r="3">
      <c r="A3" s="5" t="inlineStr">
        <is>
          <t>Head</t>
        </is>
      </c>
      <c r="B3" s="5" t="inlineStr">
        <is>
          <t>Subhead</t>
        </is>
      </c>
      <c r="C3" s="5" t="inlineStr">
        <is>
          <t>Date</t>
        </is>
      </c>
      <c r="D3" s="5" t="inlineStr">
        <is>
          <t>Account</t>
        </is>
      </c>
      <c r="E3" s="5" t="inlineStr">
        <is>
          <t>Amount (₹)</t>
        </is>
      </c>
      <c r="F3" s="5" t="inlineStr">
        <is>
          <t>Type</t>
        </is>
      </c>
      <c r="G3" s="5" t="inlineStr">
        <is>
          <t>Source</t>
        </is>
      </c>
    </row>
    <row r="4">
      <c r="A4" s="24" t="inlineStr">
        <is>
          <t>E. COGM</t>
        </is>
      </c>
      <c r="B4" s="24" t="str"/>
      <c r="C4" s="24" t="str"/>
      <c r="D4" s="24" t="str"/>
      <c r="E4" s="37" t="n">
        <v>142904.73</v>
      </c>
      <c r="F4" s="24" t="inlineStr">
        <is>
          <t>6 txns</t>
        </is>
      </c>
      <c r="G4" s="24" t="str"/>
    </row>
    <row r="5">
      <c r="A5" s="34" t="str"/>
      <c r="B5" s="38" t="inlineStr">
        <is>
          <t>Raw Materials &amp; Inventory</t>
        </is>
      </c>
      <c r="C5" s="34" t="str"/>
      <c r="D5" s="34" t="str"/>
      <c r="E5" s="35" t="n">
        <v>1596705.77</v>
      </c>
      <c r="F5" s="34" t="inlineStr">
        <is>
          <t>1 txns</t>
        </is>
      </c>
      <c r="G5" s="34" t="inlineStr">
        <is>
          <t>calculated</t>
        </is>
      </c>
    </row>
    <row r="6">
      <c r="A6" s="6" t="str"/>
      <c r="B6" s="6" t="str"/>
      <c r="C6" s="6" t="str"/>
      <c r="D6" s="6" t="inlineStr">
        <is>
          <t>Raw Materials (Prorated by Revenue)</t>
        </is>
      </c>
      <c r="E6" s="39" t="n">
        <v>1596705.77</v>
      </c>
      <c r="F6" s="6" t="inlineStr">
        <is>
          <t>debit</t>
        </is>
      </c>
      <c r="G6" s="6" t="inlineStr">
        <is>
          <t>calculated</t>
        </is>
      </c>
    </row>
    <row r="7">
      <c r="A7" s="34" t="str"/>
      <c r="B7" s="38" t="inlineStr">
        <is>
          <t>Consumables</t>
        </is>
      </c>
      <c r="C7" s="34" t="str"/>
      <c r="D7" s="34" t="str"/>
      <c r="E7" s="35" t="n">
        <v>1200</v>
      </c>
      <c r="F7" s="34" t="inlineStr">
        <is>
          <t>1 txns</t>
        </is>
      </c>
      <c r="G7" s="34" t="inlineStr">
        <is>
          <t>balance_sheet</t>
        </is>
      </c>
    </row>
    <row r="8">
      <c r="A8" s="6" t="str"/>
      <c r="B8" s="6" t="str"/>
      <c r="C8" s="6" t="str"/>
      <c r="D8" s="6" t="inlineStr">
        <is>
          <t>CONSUMABLE EXPENSES @%</t>
        </is>
      </c>
      <c r="E8" s="39" t="n">
        <v>1200</v>
      </c>
      <c r="F8" s="6" t="inlineStr">
        <is>
          <t>debit</t>
        </is>
      </c>
      <c r="G8" s="6" t="inlineStr">
        <is>
          <t>balance_sheet</t>
        </is>
      </c>
    </row>
    <row r="9">
      <c r="A9" s="34" t="str"/>
      <c r="B9" s="38" t="inlineStr">
        <is>
          <t>Factory Maintenance</t>
        </is>
      </c>
      <c r="C9" s="34" t="str"/>
      <c r="D9" s="34" t="str"/>
      <c r="E9" s="35" t="n">
        <v>36773</v>
      </c>
      <c r="F9" s="34" t="inlineStr">
        <is>
          <t>2 txns</t>
        </is>
      </c>
      <c r="G9" s="34" t="inlineStr">
        <is>
          <t>balance_sheet</t>
        </is>
      </c>
    </row>
    <row r="10">
      <c r="A10" s="6" t="str"/>
      <c r="B10" s="6" t="str"/>
      <c r="C10" s="6" t="str"/>
      <c r="D10" s="6" t="inlineStr">
        <is>
          <t>Electricity &amp; Water Expenses</t>
        </is>
      </c>
      <c r="E10" s="39" t="n">
        <v>17773</v>
      </c>
      <c r="F10" s="6" t="inlineStr">
        <is>
          <t>debit</t>
        </is>
      </c>
      <c r="G10" s="6" t="inlineStr">
        <is>
          <t>balance_sheet</t>
        </is>
      </c>
    </row>
    <row r="11">
      <c r="A11" s="6" t="str"/>
      <c r="B11" s="6" t="str"/>
      <c r="C11" s="6" t="str"/>
      <c r="D11" s="6" t="inlineStr">
        <is>
          <t>POWER BACKUP &amp; MAITENANCE (D</t>
        </is>
      </c>
      <c r="E11" s="39" t="n">
        <v>19000</v>
      </c>
      <c r="F11" s="6" t="inlineStr">
        <is>
          <t>debit</t>
        </is>
      </c>
      <c r="G11" s="6" t="inlineStr">
        <is>
          <t>balance_sheet</t>
        </is>
      </c>
    </row>
    <row r="12">
      <c r="A12" s="34" t="str"/>
      <c r="B12" s="38" t="inlineStr">
        <is>
          <t>Inbound Transport</t>
        </is>
      </c>
      <c r="C12" s="34" t="str"/>
      <c r="D12" s="34" t="str"/>
      <c r="E12" s="35" t="n">
        <v>33258.73</v>
      </c>
      <c r="F12" s="34" t="inlineStr">
        <is>
          <t>2 txns</t>
        </is>
      </c>
      <c r="G12" s="34" t="inlineStr">
        <is>
          <t>balance_sheet</t>
        </is>
      </c>
    </row>
    <row r="13">
      <c r="A13" s="6" t="str"/>
      <c r="B13" s="6" t="str"/>
      <c r="C13" s="6" t="str"/>
      <c r="D13" s="6" t="inlineStr">
        <is>
          <t>FREIGHT CHARES @%</t>
        </is>
      </c>
      <c r="E13" s="39" t="n">
        <v>30258.73</v>
      </c>
      <c r="F13" s="6" t="inlineStr">
        <is>
          <t>debit</t>
        </is>
      </c>
      <c r="G13" s="6" t="inlineStr">
        <is>
          <t>balance_sheet</t>
        </is>
      </c>
    </row>
    <row r="14">
      <c r="A14" s="6" t="str"/>
      <c r="B14" s="6" t="str"/>
      <c r="C14" s="6" t="str"/>
      <c r="D14" s="6" t="inlineStr">
        <is>
          <t>FREIGHT CHARGES@%</t>
        </is>
      </c>
      <c r="E14" s="39" t="n">
        <v>3000</v>
      </c>
      <c r="F14" s="6" t="inlineStr">
        <is>
          <t>debit</t>
        </is>
      </c>
      <c r="G14" s="6" t="inlineStr">
        <is>
          <t>balance_sheet</t>
        </is>
      </c>
    </row>
    <row r="15">
      <c r="A15" s="34" t="str"/>
      <c r="B15" s="38" t="inlineStr">
        <is>
          <t>Job work</t>
        </is>
      </c>
      <c r="C15" s="34" t="str"/>
      <c r="D15" s="34" t="str"/>
      <c r="E15" s="35" t="n">
        <v>71673</v>
      </c>
      <c r="F15" s="34" t="inlineStr">
        <is>
          <t>1 txns</t>
        </is>
      </c>
      <c r="G15" s="34" t="inlineStr">
        <is>
          <t>balance_sheet</t>
        </is>
      </c>
    </row>
    <row r="16">
      <c r="A16" s="6" t="str"/>
      <c r="B16" s="6" t="str"/>
      <c r="C16" s="6" t="str"/>
      <c r="D16" s="6" t="inlineStr">
        <is>
          <t>JOB WORK @%</t>
        </is>
      </c>
      <c r="E16" s="39" t="n">
        <v>71673</v>
      </c>
      <c r="F16" s="6" t="inlineStr">
        <is>
          <t>debit</t>
        </is>
      </c>
      <c r="G16" s="6" t="inlineStr">
        <is>
          <t>balance_sheet</t>
        </is>
      </c>
    </row>
    <row r="18">
      <c r="A18" s="24" t="inlineStr">
        <is>
          <t>F. Channel &amp; Fulfillment</t>
        </is>
      </c>
      <c r="B18" s="24" t="str"/>
      <c r="C18" s="24" t="str"/>
      <c r="D18" s="24" t="str"/>
      <c r="E18" s="37" t="n">
        <v>779524.9300000001</v>
      </c>
      <c r="F18" s="24" t="inlineStr">
        <is>
          <t>18 txns</t>
        </is>
      </c>
      <c r="G18" s="24" t="str"/>
    </row>
    <row r="19">
      <c r="A19" s="34" t="str"/>
      <c r="B19" s="38" t="inlineStr">
        <is>
          <t>Amazon Fees</t>
        </is>
      </c>
      <c r="C19" s="34" t="str"/>
      <c r="D19" s="34" t="str"/>
      <c r="E19" s="35" t="n">
        <v>739648.9300000001</v>
      </c>
      <c r="F19" s="34" t="inlineStr">
        <is>
          <t>13 txns</t>
        </is>
      </c>
      <c r="G19" s="34" t="inlineStr">
        <is>
          <t>balance_sheet</t>
        </is>
      </c>
    </row>
    <row r="20">
      <c r="A20" s="6" t="str"/>
      <c r="B20" s="6" t="str"/>
      <c r="C20" s="6" t="str"/>
      <c r="D20" s="6" t="inlineStr">
        <is>
          <t>AMAZON LOGISTICS EXP.</t>
        </is>
      </c>
      <c r="E20" s="39" t="n">
        <v>172533.04</v>
      </c>
      <c r="F20" s="6" t="inlineStr">
        <is>
          <t>debit</t>
        </is>
      </c>
      <c r="G20" s="6" t="inlineStr">
        <is>
          <t>balance_sheet</t>
        </is>
      </c>
    </row>
    <row r="21">
      <c r="A21" s="6" t="str"/>
      <c r="B21" s="6" t="str"/>
      <c r="C21" s="6" t="str"/>
      <c r="D21" s="6" t="inlineStr">
        <is>
          <t>AMAZON LOGISTICS EXP.</t>
        </is>
      </c>
      <c r="E21" s="39" t="n">
        <v>197527.1</v>
      </c>
      <c r="F21" s="6" t="inlineStr">
        <is>
          <t>debit</t>
        </is>
      </c>
      <c r="G21" s="6" t="inlineStr">
        <is>
          <t>balance_sheet</t>
        </is>
      </c>
    </row>
    <row r="22">
      <c r="A22" s="6" t="str"/>
      <c r="B22" s="6" t="str"/>
      <c r="C22" s="6" t="str"/>
      <c r="D22" s="6" t="inlineStr">
        <is>
          <t>COMMISSION FEE</t>
        </is>
      </c>
      <c r="E22" s="39" t="n">
        <v>5849.19</v>
      </c>
      <c r="F22" s="6" t="inlineStr">
        <is>
          <t>debit</t>
        </is>
      </c>
      <c r="G22" s="6" t="inlineStr">
        <is>
          <t>balance_sheet</t>
        </is>
      </c>
    </row>
    <row r="23">
      <c r="A23" s="6" t="str"/>
      <c r="B23" s="6" t="str"/>
      <c r="C23" s="6" t="str"/>
      <c r="D23" s="6" t="inlineStr">
        <is>
          <t>SHIPPING FEE</t>
        </is>
      </c>
      <c r="E23" s="39" t="n">
        <v>19500</v>
      </c>
      <c r="F23" s="6" t="inlineStr">
        <is>
          <t>debit</t>
        </is>
      </c>
      <c r="G23" s="6" t="inlineStr">
        <is>
          <t>balance_sheet</t>
        </is>
      </c>
    </row>
    <row r="24">
      <c r="A24" s="6" t="str"/>
      <c r="B24" s="6" t="str"/>
      <c r="C24" s="6" t="str"/>
      <c r="D24" s="6" t="inlineStr">
        <is>
          <t>STORAGE FEE</t>
        </is>
      </c>
      <c r="E24" s="39" t="n">
        <v>16088.54</v>
      </c>
      <c r="F24" s="6" t="inlineStr">
        <is>
          <t>debit</t>
        </is>
      </c>
      <c r="G24" s="6" t="inlineStr">
        <is>
          <t>balance_sheet</t>
        </is>
      </c>
    </row>
    <row r="25">
      <c r="A25" s="6" t="str"/>
      <c r="B25" s="6" t="str"/>
      <c r="C25" s="6" t="str"/>
      <c r="D25" s="6" t="inlineStr">
        <is>
          <t>AMAZON LOGISCTICS EXP.</t>
        </is>
      </c>
      <c r="E25" s="39" t="n">
        <v>83120.91</v>
      </c>
      <c r="F25" s="6" t="inlineStr">
        <is>
          <t>debit</t>
        </is>
      </c>
      <c r="G25" s="6" t="inlineStr">
        <is>
          <t>balance_sheet</t>
        </is>
      </c>
    </row>
    <row r="26">
      <c r="A26" s="6" t="str"/>
      <c r="B26" s="6" t="str"/>
      <c r="C26" s="6" t="str"/>
      <c r="D26" s="6" t="inlineStr">
        <is>
          <t>COMMISSION FEE</t>
        </is>
      </c>
      <c r="E26" s="39" t="n">
        <v>2150</v>
      </c>
      <c r="F26" s="6" t="inlineStr">
        <is>
          <t>debit</t>
        </is>
      </c>
      <c r="G26" s="6" t="inlineStr">
        <is>
          <t>balance_sheet</t>
        </is>
      </c>
    </row>
    <row r="27">
      <c r="A27" s="6" t="str"/>
      <c r="B27" s="6" t="str"/>
      <c r="C27" s="6" t="str"/>
      <c r="D27" s="6" t="inlineStr">
        <is>
          <t>SHIPPING FEE</t>
        </is>
      </c>
      <c r="E27" s="39" t="n">
        <v>17450</v>
      </c>
      <c r="F27" s="6" t="inlineStr">
        <is>
          <t>debit</t>
        </is>
      </c>
      <c r="G27" s="6" t="inlineStr">
        <is>
          <t>balance_sheet</t>
        </is>
      </c>
    </row>
    <row r="28">
      <c r="A28" s="6" t="str"/>
      <c r="B28" s="6" t="str"/>
      <c r="C28" s="6" t="str"/>
      <c r="D28" s="6" t="inlineStr">
        <is>
          <t>STORAGE FEE</t>
        </is>
      </c>
      <c r="E28" s="39" t="n">
        <v>7160.18</v>
      </c>
      <c r="F28" s="6" t="inlineStr">
        <is>
          <t>debit</t>
        </is>
      </c>
      <c r="G28" s="6" t="inlineStr">
        <is>
          <t>balance_sheet</t>
        </is>
      </c>
    </row>
    <row r="29">
      <c r="A29" s="6" t="str"/>
      <c r="B29" s="6" t="str"/>
      <c r="C29" s="6" t="str"/>
      <c r="D29" s="6" t="inlineStr">
        <is>
          <t>AMAZON LOGISCTICS EXP.</t>
        </is>
      </c>
      <c r="E29" s="39" t="n">
        <v>187247.92</v>
      </c>
      <c r="F29" s="6" t="inlineStr">
        <is>
          <t>debit</t>
        </is>
      </c>
      <c r="G29" s="6" t="inlineStr">
        <is>
          <t>balance_sheet</t>
        </is>
      </c>
    </row>
    <row r="30">
      <c r="A30" s="6" t="str"/>
      <c r="B30" s="6" t="str"/>
      <c r="C30" s="6" t="str"/>
      <c r="D30" s="6" t="inlineStr">
        <is>
          <t>COMMISSION FEE</t>
        </is>
      </c>
      <c r="E30" s="39" t="n">
        <v>3966.14</v>
      </c>
      <c r="F30" s="6" t="inlineStr">
        <is>
          <t>debit</t>
        </is>
      </c>
      <c r="G30" s="6" t="inlineStr">
        <is>
          <t>balance_sheet</t>
        </is>
      </c>
    </row>
    <row r="31">
      <c r="A31" s="6" t="str"/>
      <c r="B31" s="6" t="str"/>
      <c r="C31" s="6" t="str"/>
      <c r="D31" s="6" t="inlineStr">
        <is>
          <t>SHIPPING FEE</t>
        </is>
      </c>
      <c r="E31" s="39" t="n">
        <v>13950</v>
      </c>
      <c r="F31" s="6" t="inlineStr">
        <is>
          <t>debit</t>
        </is>
      </c>
      <c r="G31" s="6" t="inlineStr">
        <is>
          <t>balance_sheet</t>
        </is>
      </c>
    </row>
    <row r="32">
      <c r="A32" s="6" t="str"/>
      <c r="B32" s="6" t="str"/>
      <c r="C32" s="6" t="str"/>
      <c r="D32" s="6" t="inlineStr">
        <is>
          <t>STORAGE FEE</t>
        </is>
      </c>
      <c r="E32" s="39" t="n">
        <v>13105.91</v>
      </c>
      <c r="F32" s="6" t="inlineStr">
        <is>
          <t>debit</t>
        </is>
      </c>
      <c r="G32" s="6" t="inlineStr">
        <is>
          <t>balance_sheet</t>
        </is>
      </c>
    </row>
    <row r="33">
      <c r="A33" s="34" t="str"/>
      <c r="B33" s="38" t="inlineStr">
        <is>
          <t>D2C Fees</t>
        </is>
      </c>
      <c r="C33" s="34" t="str"/>
      <c r="D33" s="34" t="str"/>
      <c r="E33" s="35" t="n">
        <v>39876</v>
      </c>
      <c r="F33" s="34" t="inlineStr">
        <is>
          <t>5 txns</t>
        </is>
      </c>
      <c r="G33" s="34" t="inlineStr">
        <is>
          <t>balance_sheet</t>
        </is>
      </c>
    </row>
    <row r="34">
      <c r="A34" s="6" t="str"/>
      <c r="B34" s="6" t="str"/>
      <c r="C34" s="6" t="str"/>
      <c r="D34" s="6" t="inlineStr">
        <is>
          <t>COURIER &amp; POSTAGE EXPENSE</t>
        </is>
      </c>
      <c r="E34" s="39" t="n">
        <v>640</v>
      </c>
      <c r="F34" s="6" t="inlineStr">
        <is>
          <t>debit</t>
        </is>
      </c>
      <c r="G34" s="6" t="inlineStr">
        <is>
          <t>balance_sheet</t>
        </is>
      </c>
    </row>
    <row r="35">
      <c r="A35" s="6" t="str"/>
      <c r="B35" s="6" t="str"/>
      <c r="C35" s="6" t="str"/>
      <c r="D35" s="6" t="inlineStr">
        <is>
          <t>FREIGHT CHARGE@%</t>
        </is>
      </c>
      <c r="E35" s="39" t="n">
        <v>670</v>
      </c>
      <c r="F35" s="6" t="inlineStr">
        <is>
          <t>debit</t>
        </is>
      </c>
      <c r="G35" s="6" t="inlineStr">
        <is>
          <t>balance_sheet</t>
        </is>
      </c>
    </row>
    <row r="36">
      <c r="A36" s="6" t="str"/>
      <c r="B36" s="6" t="str"/>
      <c r="C36" s="6" t="str"/>
      <c r="D36" s="6" t="inlineStr">
        <is>
          <t>INSTALLATION SERVICES CHARGE</t>
        </is>
      </c>
      <c r="E36" s="39" t="n">
        <v>13200</v>
      </c>
      <c r="F36" s="6" t="inlineStr">
        <is>
          <t>debit</t>
        </is>
      </c>
      <c r="G36" s="6" t="inlineStr">
        <is>
          <t>balance_sheet</t>
        </is>
      </c>
    </row>
    <row r="37">
      <c r="A37" s="6" t="str"/>
      <c r="B37" s="6" t="str"/>
      <c r="C37" s="6" t="str"/>
      <c r="D37" s="6" t="inlineStr">
        <is>
          <t>LOADING &amp; UNLOADING EXP.</t>
        </is>
      </c>
      <c r="E37" s="39" t="n">
        <v>500</v>
      </c>
      <c r="F37" s="6" t="inlineStr">
        <is>
          <t>debit</t>
        </is>
      </c>
      <c r="G37" s="6" t="inlineStr">
        <is>
          <t>balance_sheet</t>
        </is>
      </c>
    </row>
    <row r="38">
      <c r="A38" s="6" t="str"/>
      <c r="B38" s="6" t="str"/>
      <c r="C38" s="6" t="str"/>
      <c r="D38" s="6" t="inlineStr">
        <is>
          <t>PORTER DAILY EXP.</t>
        </is>
      </c>
      <c r="E38" s="39" t="n">
        <v>24866</v>
      </c>
      <c r="F38" s="6" t="inlineStr">
        <is>
          <t>debit</t>
        </is>
      </c>
      <c r="G38" s="6" t="inlineStr">
        <is>
          <t>balance_sheet</t>
        </is>
      </c>
    </row>
    <row r="40">
      <c r="A40" s="24" t="inlineStr">
        <is>
          <t>G. Sales &amp; Marketing</t>
        </is>
      </c>
      <c r="B40" s="24" t="str"/>
      <c r="C40" s="24" t="str"/>
      <c r="D40" s="24" t="str"/>
      <c r="E40" s="37" t="n">
        <v>798072.33</v>
      </c>
      <c r="F40" s="24" t="inlineStr">
        <is>
          <t>4 txns</t>
        </is>
      </c>
      <c r="G40" s="24" t="str"/>
    </row>
    <row r="41">
      <c r="A41" s="34" t="str"/>
      <c r="B41" s="38" t="inlineStr">
        <is>
          <t>Advertising &amp; Marketing</t>
        </is>
      </c>
      <c r="C41" s="34" t="str"/>
      <c r="D41" s="34" t="str"/>
      <c r="E41" s="35" t="n">
        <v>798072.33</v>
      </c>
      <c r="F41" s="34" t="inlineStr">
        <is>
          <t>4 txns</t>
        </is>
      </c>
      <c r="G41" s="34" t="inlineStr">
        <is>
          <t>balance_sheet</t>
        </is>
      </c>
    </row>
    <row r="42">
      <c r="A42" s="6" t="str"/>
      <c r="B42" s="6" t="str"/>
      <c r="C42" s="6" t="str"/>
      <c r="D42" s="6" t="inlineStr">
        <is>
          <t>Advertisement &amp; Publicity</t>
        </is>
      </c>
      <c r="E42" s="39" t="n">
        <v>694070.35</v>
      </c>
      <c r="F42" s="6" t="inlineStr">
        <is>
          <t>debit</t>
        </is>
      </c>
      <c r="G42" s="6" t="inlineStr">
        <is>
          <t>balance_sheet</t>
        </is>
      </c>
    </row>
    <row r="43">
      <c r="A43" s="6" t="str"/>
      <c r="B43" s="6" t="str"/>
      <c r="C43" s="6" t="str"/>
      <c r="D43" s="6" t="inlineStr">
        <is>
          <t>BUSINESS PROMOTION EXPENSES</t>
        </is>
      </c>
      <c r="E43" s="39" t="n">
        <v>63000</v>
      </c>
      <c r="F43" s="6" t="inlineStr">
        <is>
          <t>debit</t>
        </is>
      </c>
      <c r="G43" s="6" t="inlineStr">
        <is>
          <t>balance_sheet</t>
        </is>
      </c>
    </row>
    <row r="44">
      <c r="A44" s="6" t="str"/>
      <c r="B44" s="6" t="str"/>
      <c r="C44" s="6" t="str"/>
      <c r="D44" s="6" t="inlineStr">
        <is>
          <t>DESIGN EXPENSES</t>
        </is>
      </c>
      <c r="E44" s="39" t="n">
        <v>37000</v>
      </c>
      <c r="F44" s="6" t="inlineStr">
        <is>
          <t>debit</t>
        </is>
      </c>
      <c r="G44" s="6" t="inlineStr">
        <is>
          <t>balance_sheet</t>
        </is>
      </c>
    </row>
    <row r="45">
      <c r="A45" s="6" t="str"/>
      <c r="B45" s="6" t="str"/>
      <c r="C45" s="6" t="str"/>
      <c r="D45" s="6" t="inlineStr">
        <is>
          <t>MARKETING CHARGES</t>
        </is>
      </c>
      <c r="E45" s="39" t="n">
        <v>4001.98</v>
      </c>
      <c r="F45" s="6" t="inlineStr">
        <is>
          <t>debit</t>
        </is>
      </c>
      <c r="G45" s="6" t="inlineStr">
        <is>
          <t>balance_sheet</t>
        </is>
      </c>
    </row>
    <row r="47">
      <c r="A47" s="24" t="inlineStr">
        <is>
          <t>H. Platform Costs</t>
        </is>
      </c>
      <c r="B47" s="24" t="str"/>
      <c r="C47" s="24" t="str"/>
      <c r="D47" s="24" t="str"/>
      <c r="E47" s="37" t="n">
        <v>147.1</v>
      </c>
      <c r="F47" s="24" t="inlineStr">
        <is>
          <t>1 txns</t>
        </is>
      </c>
      <c r="G47" s="24" t="str"/>
    </row>
    <row r="48">
      <c r="A48" s="34" t="str"/>
      <c r="B48" s="38" t="inlineStr">
        <is>
          <t>Shopify Subscription</t>
        </is>
      </c>
      <c r="C48" s="34" t="str"/>
      <c r="D48" s="34" t="str"/>
      <c r="E48" s="35" t="n">
        <v>147.1</v>
      </c>
      <c r="F48" s="34" t="inlineStr">
        <is>
          <t>1 txns</t>
        </is>
      </c>
      <c r="G48" s="34" t="inlineStr">
        <is>
          <t>balance_sheet</t>
        </is>
      </c>
    </row>
    <row r="49">
      <c r="A49" s="6" t="str"/>
      <c r="B49" s="6" t="str"/>
      <c r="C49" s="6" t="str"/>
      <c r="D49" s="6" t="inlineStr">
        <is>
          <t>PLATFORM FEE</t>
        </is>
      </c>
      <c r="E49" s="39" t="n">
        <v>147.1</v>
      </c>
      <c r="F49" s="6" t="inlineStr">
        <is>
          <t>debit</t>
        </is>
      </c>
      <c r="G49" s="6" t="inlineStr">
        <is>
          <t>balance_sheet</t>
        </is>
      </c>
    </row>
    <row r="51">
      <c r="A51" s="24" t="inlineStr">
        <is>
          <t>I. Operating Expenses</t>
        </is>
      </c>
      <c r="B51" s="24" t="str"/>
      <c r="C51" s="24" t="str"/>
      <c r="D51" s="24" t="str"/>
      <c r="E51" s="37" t="n">
        <v>850808.85</v>
      </c>
      <c r="F51" s="24" t="inlineStr">
        <is>
          <t>27 txns</t>
        </is>
      </c>
      <c r="G51" s="24" t="str"/>
    </row>
    <row r="52">
      <c r="A52" s="34" t="str"/>
      <c r="B52" s="38" t="inlineStr">
        <is>
          <t>Legal &amp; CA expenses</t>
        </is>
      </c>
      <c r="C52" s="34" t="str"/>
      <c r="D52" s="34" t="str"/>
      <c r="E52" s="35" t="n">
        <v>67250</v>
      </c>
      <c r="F52" s="34" t="inlineStr">
        <is>
          <t>2 txns</t>
        </is>
      </c>
      <c r="G52" s="34" t="inlineStr">
        <is>
          <t>balance_sheet</t>
        </is>
      </c>
    </row>
    <row r="53">
      <c r="A53" s="6" t="str"/>
      <c r="B53" s="6" t="str"/>
      <c r="C53" s="6" t="str"/>
      <c r="D53" s="6" t="inlineStr">
        <is>
          <t>ACCOUNTING &amp; RETURN FILLING</t>
        </is>
      </c>
      <c r="E53" s="39" t="n">
        <v>4750</v>
      </c>
      <c r="F53" s="6" t="inlineStr">
        <is>
          <t>debit</t>
        </is>
      </c>
      <c r="G53" s="6" t="inlineStr">
        <is>
          <t>balance_sheet</t>
        </is>
      </c>
    </row>
    <row r="54">
      <c r="A54" s="6" t="str"/>
      <c r="B54" s="6" t="str"/>
      <c r="C54" s="6" t="str"/>
      <c r="D54" s="6" t="inlineStr">
        <is>
          <t>LEGAL &amp; PROFESSIONAL EXPENS</t>
        </is>
      </c>
      <c r="E54" s="39" t="n">
        <v>62500</v>
      </c>
      <c r="F54" s="6" t="inlineStr">
        <is>
          <t>debit</t>
        </is>
      </c>
      <c r="G54" s="6" t="inlineStr">
        <is>
          <t>balance_sheet</t>
        </is>
      </c>
    </row>
    <row r="55">
      <c r="A55" s="34" t="str"/>
      <c r="B55" s="38" t="inlineStr">
        <is>
          <t>Other Operating Expenses</t>
        </is>
      </c>
      <c r="C55" s="34" t="str"/>
      <c r="D55" s="34" t="str"/>
      <c r="E55" s="35" t="n">
        <v>68114.13</v>
      </c>
      <c r="F55" s="34" t="inlineStr">
        <is>
          <t>11 txns</t>
        </is>
      </c>
      <c r="G55" s="34" t="inlineStr">
        <is>
          <t>balance_sheet</t>
        </is>
      </c>
    </row>
    <row r="56">
      <c r="A56" s="6" t="str"/>
      <c r="B56" s="6" t="str"/>
      <c r="C56" s="6" t="str"/>
      <c r="D56" s="6" t="inlineStr">
        <is>
          <t>AVANISH KUMAR (EXP. A/C)</t>
        </is>
      </c>
      <c r="E56" s="39" t="n">
        <v>8022</v>
      </c>
      <c r="F56" s="6" t="inlineStr">
        <is>
          <t>debit</t>
        </is>
      </c>
      <c r="G56" s="6" t="inlineStr">
        <is>
          <t>balance_sheet</t>
        </is>
      </c>
    </row>
    <row r="57">
      <c r="A57" s="6" t="str"/>
      <c r="B57" s="6" t="str"/>
      <c r="C57" s="6" t="str"/>
      <c r="D57" s="6" t="inlineStr">
        <is>
          <t>PRABHASH EXP. A/C</t>
        </is>
      </c>
      <c r="E57" s="39" t="n">
        <v>-5000</v>
      </c>
      <c r="F57" s="6" t="inlineStr">
        <is>
          <t>debit</t>
        </is>
      </c>
      <c r="G57" s="6" t="inlineStr">
        <is>
          <t>balance_sheet</t>
        </is>
      </c>
    </row>
    <row r="58">
      <c r="A58" s="6" t="str"/>
      <c r="B58" s="6" t="str"/>
      <c r="C58" s="6" t="str"/>
      <c r="D58" s="6" t="inlineStr">
        <is>
          <t>RATE DIFFERENCE</t>
        </is>
      </c>
      <c r="E58" s="39" t="n">
        <v>57800</v>
      </c>
      <c r="F58" s="6" t="inlineStr">
        <is>
          <t>debit</t>
        </is>
      </c>
      <c r="G58" s="6" t="inlineStr">
        <is>
          <t>balance_sheet</t>
        </is>
      </c>
    </row>
    <row r="59">
      <c r="A59" s="6" t="str"/>
      <c r="B59" s="6" t="str"/>
      <c r="C59" s="6" t="str"/>
      <c r="D59" s="6" t="inlineStr">
        <is>
          <t>Rounded Off</t>
        </is>
      </c>
      <c r="E59" s="39" t="n">
        <v>-8.130000000000001</v>
      </c>
      <c r="F59" s="6" t="inlineStr">
        <is>
          <t>debit</t>
        </is>
      </c>
      <c r="G59" s="6" t="inlineStr">
        <is>
          <t>balance_sheet</t>
        </is>
      </c>
    </row>
    <row r="60">
      <c r="A60" s="6" t="str"/>
      <c r="B60" s="6" t="str"/>
      <c r="C60" s="6" t="str"/>
      <c r="D60" s="6" t="inlineStr">
        <is>
          <t>TRANSPOTATION EXPENSES</t>
        </is>
      </c>
      <c r="E60" s="39" t="n">
        <v>6600</v>
      </c>
      <c r="F60" s="6" t="inlineStr">
        <is>
          <t>debit</t>
        </is>
      </c>
      <c r="G60" s="6" t="inlineStr">
        <is>
          <t>balance_sheet</t>
        </is>
      </c>
    </row>
    <row r="61">
      <c r="A61" s="6" t="str"/>
      <c r="B61" s="6" t="str"/>
      <c r="C61" s="6" t="str"/>
      <c r="D61" s="6" t="inlineStr">
        <is>
          <t>RETURN FEE</t>
        </is>
      </c>
      <c r="E61" s="39" t="n">
        <v>500</v>
      </c>
      <c r="F61" s="6" t="inlineStr">
        <is>
          <t>debit</t>
        </is>
      </c>
      <c r="G61" s="6" t="inlineStr">
        <is>
          <t>balance_sheet</t>
        </is>
      </c>
    </row>
    <row r="62">
      <c r="A62" s="6" t="str"/>
      <c r="B62" s="6" t="str"/>
      <c r="C62" s="6" t="str"/>
      <c r="D62" s="6" t="inlineStr">
        <is>
          <t>Rounded Off</t>
        </is>
      </c>
      <c r="E62" s="39" t="n">
        <v>-1.68</v>
      </c>
      <c r="F62" s="6" t="inlineStr">
        <is>
          <t>debit</t>
        </is>
      </c>
      <c r="G62" s="6" t="inlineStr">
        <is>
          <t>balance_sheet</t>
        </is>
      </c>
    </row>
    <row r="63">
      <c r="A63" s="6" t="str"/>
      <c r="B63" s="6" t="str"/>
      <c r="C63" s="6" t="str"/>
      <c r="D63" s="6" t="inlineStr">
        <is>
          <t>RETURN FEE</t>
        </is>
      </c>
      <c r="E63" s="39" t="n">
        <v>100</v>
      </c>
      <c r="F63" s="6" t="inlineStr">
        <is>
          <t>debit</t>
        </is>
      </c>
      <c r="G63" s="6" t="inlineStr">
        <is>
          <t>balance_sheet</t>
        </is>
      </c>
    </row>
    <row r="64">
      <c r="A64" s="6" t="str"/>
      <c r="B64" s="6" t="str"/>
      <c r="C64" s="6" t="str"/>
      <c r="D64" s="6" t="inlineStr">
        <is>
          <t>Rounded Off</t>
        </is>
      </c>
      <c r="E64" s="39" t="n">
        <v>2.21</v>
      </c>
      <c r="F64" s="6" t="inlineStr">
        <is>
          <t>debit</t>
        </is>
      </c>
      <c r="G64" s="6" t="inlineStr">
        <is>
          <t>balance_sheet</t>
        </is>
      </c>
    </row>
    <row r="65">
      <c r="A65" s="6" t="str"/>
      <c r="B65" s="6" t="str"/>
      <c r="C65" s="6" t="str"/>
      <c r="D65" s="6" t="inlineStr">
        <is>
          <t>RETURN FEE</t>
        </is>
      </c>
      <c r="E65" s="39" t="n">
        <v>100</v>
      </c>
      <c r="F65" s="6" t="inlineStr">
        <is>
          <t>debit</t>
        </is>
      </c>
      <c r="G65" s="6" t="inlineStr">
        <is>
          <t>balance_sheet</t>
        </is>
      </c>
    </row>
    <row r="66">
      <c r="A66" s="6" t="str"/>
      <c r="B66" s="6" t="str"/>
      <c r="C66" s="6" t="str"/>
      <c r="D66" s="6" t="inlineStr">
        <is>
          <t>Rounded Off</t>
        </is>
      </c>
      <c r="E66" s="39" t="n">
        <v>-0.27</v>
      </c>
      <c r="F66" s="6" t="inlineStr">
        <is>
          <t>debit</t>
        </is>
      </c>
      <c r="G66" s="6" t="inlineStr">
        <is>
          <t>balance_sheet</t>
        </is>
      </c>
    </row>
    <row r="67">
      <c r="A67" s="34" t="str"/>
      <c r="B67" s="38" t="inlineStr">
        <is>
          <t>Banks &amp; Finance Charges</t>
        </is>
      </c>
      <c r="C67" s="34" t="str"/>
      <c r="D67" s="34" t="str"/>
      <c r="E67" s="35" t="n">
        <v>2611.94</v>
      </c>
      <c r="F67" s="34" t="inlineStr">
        <is>
          <t>2 txns</t>
        </is>
      </c>
      <c r="G67" s="34" t="inlineStr">
        <is>
          <t>balance_sheet</t>
        </is>
      </c>
    </row>
    <row r="68">
      <c r="A68" s="6" t="str"/>
      <c r="B68" s="6" t="str"/>
      <c r="C68" s="6" t="str"/>
      <c r="D68" s="6" t="inlineStr">
        <is>
          <t>Bank Charges@%</t>
        </is>
      </c>
      <c r="E68" s="39" t="n">
        <v>2375</v>
      </c>
      <c r="F68" s="6" t="inlineStr">
        <is>
          <t>debit</t>
        </is>
      </c>
      <c r="G68" s="6" t="inlineStr">
        <is>
          <t>balance_sheet</t>
        </is>
      </c>
    </row>
    <row r="69">
      <c r="A69" s="6" t="str"/>
      <c r="B69" s="6" t="str"/>
      <c r="C69" s="6" t="str"/>
      <c r="D69" s="6" t="inlineStr">
        <is>
          <t>PENALTY CHARGES</t>
        </is>
      </c>
      <c r="E69" s="39" t="n">
        <v>236.94</v>
      </c>
      <c r="F69" s="6" t="inlineStr">
        <is>
          <t>debit</t>
        </is>
      </c>
      <c r="G69" s="6" t="inlineStr">
        <is>
          <t>balance_sheet</t>
        </is>
      </c>
    </row>
    <row r="70">
      <c r="A70" s="34" t="str"/>
      <c r="B70" s="38" t="inlineStr">
        <is>
          <t>Salaries (Admin Mgmt)</t>
        </is>
      </c>
      <c r="C70" s="34" t="str"/>
      <c r="D70" s="34" t="str"/>
      <c r="E70" s="35" t="n">
        <v>374803</v>
      </c>
      <c r="F70" s="34" t="inlineStr">
        <is>
          <t>2 txns</t>
        </is>
      </c>
      <c r="G70" s="34" t="inlineStr">
        <is>
          <t>balance_sheet</t>
        </is>
      </c>
    </row>
    <row r="71">
      <c r="A71" s="6" t="str"/>
      <c r="B71" s="6" t="str"/>
      <c r="C71" s="6" t="str"/>
      <c r="D71" s="6" t="inlineStr">
        <is>
          <t>ESI EMPLOYER CONTRIBUTTION E</t>
        </is>
      </c>
      <c r="E71" s="39" t="n">
        <v>3010</v>
      </c>
      <c r="F71" s="6" t="inlineStr">
        <is>
          <t>debit</t>
        </is>
      </c>
      <c r="G71" s="6" t="inlineStr">
        <is>
          <t>balance_sheet</t>
        </is>
      </c>
    </row>
    <row r="72">
      <c r="A72" s="6" t="str"/>
      <c r="B72" s="6" t="str"/>
      <c r="C72" s="6" t="str"/>
      <c r="D72" s="6" t="inlineStr">
        <is>
          <t>Salary Expenses</t>
        </is>
      </c>
      <c r="E72" s="39" t="n">
        <v>371793</v>
      </c>
      <c r="F72" s="6" t="inlineStr">
        <is>
          <t>debit</t>
        </is>
      </c>
      <c r="G72" s="6" t="inlineStr">
        <is>
          <t>balance_sheet</t>
        </is>
      </c>
    </row>
    <row r="73">
      <c r="A73" s="34" t="str"/>
      <c r="B73" s="38" t="inlineStr">
        <is>
          <t>Administrative Expenses</t>
        </is>
      </c>
      <c r="C73" s="34" t="str"/>
      <c r="D73" s="34" t="str"/>
      <c r="E73" s="35" t="n">
        <v>321155.78</v>
      </c>
      <c r="F73" s="34" t="inlineStr">
        <is>
          <t>8 txns</t>
        </is>
      </c>
      <c r="G73" s="34" t="inlineStr">
        <is>
          <t>balance_sheet</t>
        </is>
      </c>
    </row>
    <row r="74">
      <c r="A74" s="6" t="str"/>
      <c r="B74" s="6" t="str"/>
      <c r="C74" s="6" t="str"/>
      <c r="D74" s="6" t="inlineStr">
        <is>
          <t>OFFICE EXPENSES</t>
        </is>
      </c>
      <c r="E74" s="39" t="n">
        <v>581</v>
      </c>
      <c r="F74" s="6" t="inlineStr">
        <is>
          <t>debit</t>
        </is>
      </c>
      <c r="G74" s="6" t="inlineStr">
        <is>
          <t>balance_sheet</t>
        </is>
      </c>
    </row>
    <row r="75">
      <c r="A75" s="6" t="str"/>
      <c r="B75" s="6" t="str"/>
      <c r="C75" s="6" t="str"/>
      <c r="D75" s="6" t="inlineStr">
        <is>
          <t>OFFICE EXPENSES @ %</t>
        </is>
      </c>
      <c r="E75" s="39" t="n">
        <v>1826</v>
      </c>
      <c r="F75" s="6" t="inlineStr">
        <is>
          <t>debit</t>
        </is>
      </c>
      <c r="G75" s="6" t="inlineStr">
        <is>
          <t>balance_sheet</t>
        </is>
      </c>
    </row>
    <row r="76">
      <c r="A76" s="6" t="str"/>
      <c r="B76" s="6" t="str"/>
      <c r="C76" s="6" t="str"/>
      <c r="D76" s="6" t="inlineStr">
        <is>
          <t>Office Rent</t>
        </is>
      </c>
      <c r="E76" s="39" t="n">
        <v>144453.13</v>
      </c>
      <c r="F76" s="6" t="inlineStr">
        <is>
          <t>debit</t>
        </is>
      </c>
      <c r="G76" s="6" t="inlineStr">
        <is>
          <t>balance_sheet</t>
        </is>
      </c>
    </row>
    <row r="77">
      <c r="A77" s="6" t="str"/>
      <c r="B77" s="6" t="str"/>
      <c r="C77" s="6" t="str"/>
      <c r="D77" s="6" t="inlineStr">
        <is>
          <t>Printing &amp; Stationery@%</t>
        </is>
      </c>
      <c r="E77" s="39" t="n">
        <v>1175</v>
      </c>
      <c r="F77" s="6" t="inlineStr">
        <is>
          <t>debit</t>
        </is>
      </c>
      <c r="G77" s="6" t="inlineStr">
        <is>
          <t>balance_sheet</t>
        </is>
      </c>
    </row>
    <row r="78">
      <c r="A78" s="6" t="str"/>
      <c r="B78" s="6" t="str"/>
      <c r="C78" s="6" t="str"/>
      <c r="D78" s="6" t="inlineStr">
        <is>
          <t>Printing &amp; Stationery@%</t>
        </is>
      </c>
      <c r="E78" s="39" t="n">
        <v>24246.51</v>
      </c>
      <c r="F78" s="6" t="inlineStr">
        <is>
          <t>debit</t>
        </is>
      </c>
      <c r="G78" s="6" t="inlineStr">
        <is>
          <t>balance_sheet</t>
        </is>
      </c>
    </row>
    <row r="79">
      <c r="A79" s="6" t="str"/>
      <c r="B79" s="6" t="str"/>
      <c r="C79" s="6" t="str"/>
      <c r="D79" s="6" t="inlineStr">
        <is>
          <t>REPAIRE &amp; MAINTENANCE EXPENS</t>
        </is>
      </c>
      <c r="E79" s="39" t="n">
        <v>5000</v>
      </c>
      <c r="F79" s="6" t="inlineStr">
        <is>
          <t>debit</t>
        </is>
      </c>
      <c r="G79" s="6" t="inlineStr">
        <is>
          <t>balance_sheet</t>
        </is>
      </c>
    </row>
    <row r="80">
      <c r="A80" s="6" t="str"/>
      <c r="B80" s="6" t="str"/>
      <c r="C80" s="6" t="str"/>
      <c r="D80" s="6" t="inlineStr">
        <is>
          <t>REPAIRE &amp; MAINTENANCE EXPENS</t>
        </is>
      </c>
      <c r="E80" s="39" t="n">
        <v>123202</v>
      </c>
      <c r="F80" s="6" t="inlineStr">
        <is>
          <t>debit</t>
        </is>
      </c>
      <c r="G80" s="6" t="inlineStr">
        <is>
          <t>balance_sheet</t>
        </is>
      </c>
    </row>
    <row r="81">
      <c r="A81" s="6" t="str"/>
      <c r="B81" s="6" t="str"/>
      <c r="C81" s="6" t="str"/>
      <c r="D81" s="6" t="inlineStr">
        <is>
          <t>VEHICAL RUNING MAINTENANCE</t>
        </is>
      </c>
      <c r="E81" s="39" t="n">
        <v>20672.14</v>
      </c>
      <c r="F81" s="6" t="inlineStr">
        <is>
          <t>debit</t>
        </is>
      </c>
      <c r="G81" s="6" t="inlineStr">
        <is>
          <t>balance_sheet</t>
        </is>
      </c>
    </row>
    <row r="82">
      <c r="A82" s="34" t="str"/>
      <c r="B82" s="38" t="inlineStr">
        <is>
          <t>Staff Welfare &amp; Events</t>
        </is>
      </c>
      <c r="C82" s="34" t="str"/>
      <c r="D82" s="34" t="str"/>
      <c r="E82" s="35" t="n">
        <v>3312</v>
      </c>
      <c r="F82" s="34" t="inlineStr">
        <is>
          <t>1 txns</t>
        </is>
      </c>
      <c r="G82" s="34" t="inlineStr">
        <is>
          <t>balance_sheet</t>
        </is>
      </c>
    </row>
    <row r="83">
      <c r="A83" s="6" t="str"/>
      <c r="B83" s="6" t="str"/>
      <c r="C83" s="6" t="str"/>
      <c r="D83" s="6" t="inlineStr">
        <is>
          <t>STAFF WELFARE EXPENSES</t>
        </is>
      </c>
      <c r="E83" s="39" t="n">
        <v>3312</v>
      </c>
      <c r="F83" s="6" t="inlineStr">
        <is>
          <t>debit</t>
        </is>
      </c>
      <c r="G83" s="6" t="inlineStr">
        <is>
          <t>balance_sheet</t>
        </is>
      </c>
    </row>
    <row r="84">
      <c r="A84" s="34" t="str"/>
      <c r="B84" s="38" t="inlineStr">
        <is>
          <t>Miscellaneous (Travel, insurance)</t>
        </is>
      </c>
      <c r="C84" s="34" t="str"/>
      <c r="D84" s="34" t="str"/>
      <c r="E84" s="35" t="n">
        <v>13562</v>
      </c>
      <c r="F84" s="34" t="inlineStr">
        <is>
          <t>1 txns</t>
        </is>
      </c>
      <c r="G84" s="34" t="inlineStr">
        <is>
          <t>balance_sheet</t>
        </is>
      </c>
    </row>
    <row r="85">
      <c r="A85" s="6" t="str"/>
      <c r="B85" s="6" t="str"/>
      <c r="C85" s="6" t="str"/>
      <c r="D85" s="6" t="inlineStr">
        <is>
          <t>Travelling Expenses</t>
        </is>
      </c>
      <c r="E85" s="39" t="n">
        <v>13562</v>
      </c>
      <c r="F85" s="6" t="inlineStr">
        <is>
          <t>debit</t>
        </is>
      </c>
      <c r="G85" s="6" t="inlineStr">
        <is>
          <t>balance_sheet</t>
        </is>
      </c>
    </row>
    <row r="87">
      <c r="A87" s="24" t="inlineStr">
        <is>
          <t>J. Non-Operating</t>
        </is>
      </c>
      <c r="B87" s="24" t="str"/>
      <c r="C87" s="24" t="str"/>
      <c r="D87" s="24" t="str"/>
      <c r="E87" s="37" t="n">
        <v>64859</v>
      </c>
      <c r="F87" s="24" t="inlineStr">
        <is>
          <t>1 txns</t>
        </is>
      </c>
      <c r="G87" s="24" t="str"/>
    </row>
    <row r="88">
      <c r="A88" s="34" t="str"/>
      <c r="B88" s="38" t="inlineStr">
        <is>
          <t>Less: Interest Expense</t>
        </is>
      </c>
      <c r="C88" s="34" t="str"/>
      <c r="D88" s="34" t="str"/>
      <c r="E88" s="35" t="n">
        <v>64859</v>
      </c>
      <c r="F88" s="34" t="inlineStr">
        <is>
          <t>1 txns</t>
        </is>
      </c>
      <c r="G88" s="34" t="inlineStr">
        <is>
          <t>balance_sheet</t>
        </is>
      </c>
    </row>
    <row r="89">
      <c r="A89" s="6" t="str"/>
      <c r="B89" s="6" t="str"/>
      <c r="C89" s="6" t="str"/>
      <c r="D89" s="6" t="inlineStr">
        <is>
          <t>INTEREST ON OD LIMIT</t>
        </is>
      </c>
      <c r="E89" s="39" t="n">
        <v>64859</v>
      </c>
      <c r="F89" s="6" t="inlineStr">
        <is>
          <t>debit</t>
        </is>
      </c>
      <c r="G89" s="6" t="inlineStr">
        <is>
          <t>balance_sheet</t>
        </is>
      </c>
    </row>
  </sheetData>
  <mergeCells count="1">
    <mergeCell ref="A1:G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cols>
    <col width="25.83203125" customWidth="1" style="2" min="1" max="1"/>
    <col width="30.83203125" customWidth="1" style="2" min="2" max="2"/>
    <col width="12.83203125" customWidth="1" style="2" min="3" max="3"/>
    <col width="45.83203125" customWidth="1" style="2" min="4" max="4"/>
    <col width="15.83203125" customWidth="1" style="2" min="5" max="5"/>
    <col width="10.83203125" customWidth="1" style="2" min="6" max="6"/>
    <col width="15.83203125" customWidth="1" style="2" min="7" max="7"/>
  </cols>
  <sheetData>
    <row r="1">
      <c r="A1" s="40" t="inlineStr">
        <is>
          <t>Jun 2025 - TRANSACTION DETAILS</t>
        </is>
      </c>
    </row>
    <row r="3">
      <c r="A3" s="5" t="inlineStr">
        <is>
          <t>Head</t>
        </is>
      </c>
      <c r="B3" s="5" t="inlineStr">
        <is>
          <t>Subhead</t>
        </is>
      </c>
      <c r="C3" s="5" t="inlineStr">
        <is>
          <t>Date</t>
        </is>
      </c>
      <c r="D3" s="5" t="inlineStr">
        <is>
          <t>Account</t>
        </is>
      </c>
      <c r="E3" s="5" t="inlineStr">
        <is>
          <t>Amount (₹)</t>
        </is>
      </c>
      <c r="F3" s="5" t="inlineStr">
        <is>
          <t>Type</t>
        </is>
      </c>
      <c r="G3" s="5" t="inlineStr">
        <is>
          <t>Source</t>
        </is>
      </c>
    </row>
    <row r="4">
      <c r="A4" s="24" t="inlineStr">
        <is>
          <t>E. COGM</t>
        </is>
      </c>
      <c r="B4" s="24" t="str"/>
      <c r="C4" s="24" t="str"/>
      <c r="D4" s="24" t="str"/>
      <c r="E4" s="37" t="n">
        <v>105668</v>
      </c>
      <c r="F4" s="24" t="inlineStr">
        <is>
          <t>7 txns</t>
        </is>
      </c>
      <c r="G4" s="24" t="str"/>
    </row>
    <row r="5">
      <c r="A5" s="34" t="str"/>
      <c r="B5" s="38" t="inlineStr">
        <is>
          <t>Raw Materials &amp; Inventory</t>
        </is>
      </c>
      <c r="C5" s="34" t="str"/>
      <c r="D5" s="34" t="str"/>
      <c r="E5" s="35" t="n">
        <v>1047044.46</v>
      </c>
      <c r="F5" s="34" t="inlineStr">
        <is>
          <t>1 txns</t>
        </is>
      </c>
      <c r="G5" s="34" t="inlineStr">
        <is>
          <t>calculated</t>
        </is>
      </c>
    </row>
    <row r="6">
      <c r="A6" s="6" t="str"/>
      <c r="B6" s="6" t="str"/>
      <c r="C6" s="6" t="str"/>
      <c r="D6" s="6" t="inlineStr">
        <is>
          <t>Raw Materials (Prorated by Revenue)</t>
        </is>
      </c>
      <c r="E6" s="39" t="n">
        <v>1047044.46</v>
      </c>
      <c r="F6" s="6" t="inlineStr">
        <is>
          <t>debit</t>
        </is>
      </c>
      <c r="G6" s="6" t="inlineStr">
        <is>
          <t>calculated</t>
        </is>
      </c>
    </row>
    <row r="7">
      <c r="A7" s="34" t="str"/>
      <c r="B7" s="38" t="inlineStr">
        <is>
          <t>Consumables</t>
        </is>
      </c>
      <c r="C7" s="34" t="str"/>
      <c r="D7" s="34" t="str"/>
      <c r="E7" s="35" t="n">
        <v>5325</v>
      </c>
      <c r="F7" s="34" t="inlineStr">
        <is>
          <t>1 txns</t>
        </is>
      </c>
      <c r="G7" s="34" t="inlineStr">
        <is>
          <t>balance_sheet</t>
        </is>
      </c>
    </row>
    <row r="8">
      <c r="A8" s="6" t="str"/>
      <c r="B8" s="6" t="str"/>
      <c r="C8" s="6" t="str"/>
      <c r="D8" s="6" t="inlineStr">
        <is>
          <t>CONSUMABLE EXPENSES @%</t>
        </is>
      </c>
      <c r="E8" s="39" t="n">
        <v>5325</v>
      </c>
      <c r="F8" s="6" t="inlineStr">
        <is>
          <t>debit</t>
        </is>
      </c>
      <c r="G8" s="6" t="inlineStr">
        <is>
          <t>balance_sheet</t>
        </is>
      </c>
    </row>
    <row r="9">
      <c r="A9" s="34" t="str"/>
      <c r="B9" s="38" t="inlineStr">
        <is>
          <t>Factory Maintenance</t>
        </is>
      </c>
      <c r="C9" s="34" t="str"/>
      <c r="D9" s="34" t="str"/>
      <c r="E9" s="35" t="n">
        <v>35790</v>
      </c>
      <c r="F9" s="34" t="inlineStr">
        <is>
          <t>2 txns</t>
        </is>
      </c>
      <c r="G9" s="34" t="inlineStr">
        <is>
          <t>balance_sheet</t>
        </is>
      </c>
    </row>
    <row r="10">
      <c r="A10" s="6" t="str"/>
      <c r="B10" s="6" t="str"/>
      <c r="C10" s="6" t="str"/>
      <c r="D10" s="6" t="inlineStr">
        <is>
          <t>Electricity &amp; Water Expenses</t>
        </is>
      </c>
      <c r="E10" s="39" t="n">
        <v>16790</v>
      </c>
      <c r="F10" s="6" t="inlineStr">
        <is>
          <t>debit</t>
        </is>
      </c>
      <c r="G10" s="6" t="inlineStr">
        <is>
          <t>balance_sheet</t>
        </is>
      </c>
    </row>
    <row r="11">
      <c r="A11" s="6" t="str"/>
      <c r="B11" s="6" t="str"/>
      <c r="C11" s="6" t="str"/>
      <c r="D11" s="6" t="inlineStr">
        <is>
          <t>POWER BACKUP &amp; MAITENANCE (D</t>
        </is>
      </c>
      <c r="E11" s="39" t="n">
        <v>19000</v>
      </c>
      <c r="F11" s="6" t="inlineStr">
        <is>
          <t>debit</t>
        </is>
      </c>
      <c r="G11" s="6" t="inlineStr">
        <is>
          <t>balance_sheet</t>
        </is>
      </c>
    </row>
    <row r="12">
      <c r="A12" s="34" t="str"/>
      <c r="B12" s="38" t="inlineStr">
        <is>
          <t>Inbound Transport</t>
        </is>
      </c>
      <c r="C12" s="34" t="str"/>
      <c r="D12" s="34" t="str"/>
      <c r="E12" s="35" t="n">
        <v>4651</v>
      </c>
      <c r="F12" s="34" t="inlineStr">
        <is>
          <t>2 txns</t>
        </is>
      </c>
      <c r="G12" s="34" t="inlineStr">
        <is>
          <t>balance_sheet</t>
        </is>
      </c>
    </row>
    <row r="13">
      <c r="A13" s="6" t="str"/>
      <c r="B13" s="6" t="str"/>
      <c r="C13" s="6" t="str"/>
      <c r="D13" s="6" t="inlineStr">
        <is>
          <t>FREIGHT CHARES @%</t>
        </is>
      </c>
      <c r="E13" s="39" t="n">
        <v>1651</v>
      </c>
      <c r="F13" s="6" t="inlineStr">
        <is>
          <t>debit</t>
        </is>
      </c>
      <c r="G13" s="6" t="inlineStr">
        <is>
          <t>balance_sheet</t>
        </is>
      </c>
    </row>
    <row r="14">
      <c r="A14" s="6" t="str"/>
      <c r="B14" s="6" t="str"/>
      <c r="C14" s="6" t="str"/>
      <c r="D14" s="6" t="inlineStr">
        <is>
          <t>FREIGHT CHARGES@%</t>
        </is>
      </c>
      <c r="E14" s="39" t="n">
        <v>3000</v>
      </c>
      <c r="F14" s="6" t="inlineStr">
        <is>
          <t>debit</t>
        </is>
      </c>
      <c r="G14" s="6" t="inlineStr">
        <is>
          <t>balance_sheet</t>
        </is>
      </c>
    </row>
    <row r="15">
      <c r="A15" s="34" t="str"/>
      <c r="B15" s="38" t="inlineStr">
        <is>
          <t>Job work</t>
        </is>
      </c>
      <c r="C15" s="34" t="str"/>
      <c r="D15" s="34" t="str"/>
      <c r="E15" s="35" t="n">
        <v>49902</v>
      </c>
      <c r="F15" s="34" t="inlineStr">
        <is>
          <t>1 txns</t>
        </is>
      </c>
      <c r="G15" s="34" t="inlineStr">
        <is>
          <t>balance_sheet</t>
        </is>
      </c>
    </row>
    <row r="16">
      <c r="A16" s="6" t="str"/>
      <c r="B16" s="6" t="str"/>
      <c r="C16" s="6" t="str"/>
      <c r="D16" s="6" t="inlineStr">
        <is>
          <t>JOB WORK @%</t>
        </is>
      </c>
      <c r="E16" s="39" t="n">
        <v>49902</v>
      </c>
      <c r="F16" s="6" t="inlineStr">
        <is>
          <t>debit</t>
        </is>
      </c>
      <c r="G16" s="6" t="inlineStr">
        <is>
          <t>balance_sheet</t>
        </is>
      </c>
    </row>
    <row r="17">
      <c r="A17" s="34" t="str"/>
      <c r="B17" s="38" t="inlineStr">
        <is>
          <t>Manufacturing Wages</t>
        </is>
      </c>
      <c r="C17" s="34" t="str"/>
      <c r="D17" s="34" t="str"/>
      <c r="E17" s="35" t="n">
        <v>10000</v>
      </c>
      <c r="F17" s="34" t="inlineStr">
        <is>
          <t>1 txns</t>
        </is>
      </c>
      <c r="G17" s="34" t="inlineStr">
        <is>
          <t>balance_sheet</t>
        </is>
      </c>
    </row>
    <row r="18">
      <c r="A18" s="6" t="str"/>
      <c r="B18" s="6" t="str"/>
      <c r="C18" s="6" t="str"/>
      <c r="D18" s="6" t="inlineStr">
        <is>
          <t>LABOUR &amp; WAGES EXPENSES</t>
        </is>
      </c>
      <c r="E18" s="39" t="n">
        <v>10000</v>
      </c>
      <c r="F18" s="6" t="inlineStr">
        <is>
          <t>debit</t>
        </is>
      </c>
      <c r="G18" s="6" t="inlineStr">
        <is>
          <t>balance_sheet</t>
        </is>
      </c>
    </row>
    <row r="20">
      <c r="A20" s="24" t="inlineStr">
        <is>
          <t>F. Channel &amp; Fulfillment</t>
        </is>
      </c>
      <c r="B20" s="24" t="str"/>
      <c r="C20" s="24" t="str"/>
      <c r="D20" s="24" t="str"/>
      <c r="E20" s="37" t="n">
        <v>648003.64</v>
      </c>
      <c r="F20" s="24" t="inlineStr">
        <is>
          <t>16 txns</t>
        </is>
      </c>
      <c r="G20" s="24" t="str"/>
    </row>
    <row r="21">
      <c r="A21" s="34" t="str"/>
      <c r="B21" s="38" t="inlineStr">
        <is>
          <t>Amazon Fees</t>
        </is>
      </c>
      <c r="C21" s="34" t="str"/>
      <c r="D21" s="34" t="str"/>
      <c r="E21" s="35" t="n">
        <v>619928.88</v>
      </c>
      <c r="F21" s="34" t="inlineStr">
        <is>
          <t>13 txns</t>
        </is>
      </c>
      <c r="G21" s="34" t="inlineStr">
        <is>
          <t>balance_sheet</t>
        </is>
      </c>
    </row>
    <row r="22">
      <c r="A22" s="6" t="str"/>
      <c r="B22" s="6" t="str"/>
      <c r="C22" s="6" t="str"/>
      <c r="D22" s="6" t="inlineStr">
        <is>
          <t>AMAZON LOGISTICS EXP.</t>
        </is>
      </c>
      <c r="E22" s="39" t="n">
        <v>161129.5</v>
      </c>
      <c r="F22" s="6" t="inlineStr">
        <is>
          <t>debit</t>
        </is>
      </c>
      <c r="G22" s="6" t="inlineStr">
        <is>
          <t>balance_sheet</t>
        </is>
      </c>
    </row>
    <row r="23">
      <c r="A23" s="6" t="str"/>
      <c r="B23" s="6" t="str"/>
      <c r="C23" s="6" t="str"/>
      <c r="D23" s="6" t="inlineStr">
        <is>
          <t>AMAZON LOGISTICS EXP.</t>
        </is>
      </c>
      <c r="E23" s="39" t="n">
        <v>161046.11</v>
      </c>
      <c r="F23" s="6" t="inlineStr">
        <is>
          <t>debit</t>
        </is>
      </c>
      <c r="G23" s="6" t="inlineStr">
        <is>
          <t>balance_sheet</t>
        </is>
      </c>
    </row>
    <row r="24">
      <c r="A24" s="6" t="str"/>
      <c r="B24" s="6" t="str"/>
      <c r="C24" s="6" t="str"/>
      <c r="D24" s="6" t="inlineStr">
        <is>
          <t>COMMISSION FEE</t>
        </is>
      </c>
      <c r="E24" s="39" t="n">
        <v>5493.02</v>
      </c>
      <c r="F24" s="6" t="inlineStr">
        <is>
          <t>debit</t>
        </is>
      </c>
      <c r="G24" s="6" t="inlineStr">
        <is>
          <t>balance_sheet</t>
        </is>
      </c>
    </row>
    <row r="25">
      <c r="A25" s="6" t="str"/>
      <c r="B25" s="6" t="str"/>
      <c r="C25" s="6" t="str"/>
      <c r="D25" s="6" t="inlineStr">
        <is>
          <t>SHIPPING FEE</t>
        </is>
      </c>
      <c r="E25" s="39" t="n">
        <v>11550</v>
      </c>
      <c r="F25" s="6" t="inlineStr">
        <is>
          <t>debit</t>
        </is>
      </c>
      <c r="G25" s="6" t="inlineStr">
        <is>
          <t>balance_sheet</t>
        </is>
      </c>
    </row>
    <row r="26">
      <c r="A26" s="6" t="str"/>
      <c r="B26" s="6" t="str"/>
      <c r="C26" s="6" t="str"/>
      <c r="D26" s="6" t="inlineStr">
        <is>
          <t>STORAGE FEE</t>
        </is>
      </c>
      <c r="E26" s="39" t="n">
        <v>12818.12</v>
      </c>
      <c r="F26" s="6" t="inlineStr">
        <is>
          <t>debit</t>
        </is>
      </c>
      <c r="G26" s="6" t="inlineStr">
        <is>
          <t>balance_sheet</t>
        </is>
      </c>
    </row>
    <row r="27">
      <c r="A27" s="6" t="str"/>
      <c r="B27" s="6" t="str"/>
      <c r="C27" s="6" t="str"/>
      <c r="D27" s="6" t="inlineStr">
        <is>
          <t>AMAZON LOGISCTICS EXP.</t>
        </is>
      </c>
      <c r="E27" s="39" t="n">
        <v>60929.28</v>
      </c>
      <c r="F27" s="6" t="inlineStr">
        <is>
          <t>debit</t>
        </is>
      </c>
      <c r="G27" s="6" t="inlineStr">
        <is>
          <t>balance_sheet</t>
        </is>
      </c>
    </row>
    <row r="28">
      <c r="A28" s="6" t="str"/>
      <c r="B28" s="6" t="str"/>
      <c r="C28" s="6" t="str"/>
      <c r="D28" s="6" t="inlineStr">
        <is>
          <t>COMMISSION FEE</t>
        </is>
      </c>
      <c r="E28" s="39" t="n">
        <v>379.68</v>
      </c>
      <c r="F28" s="6" t="inlineStr">
        <is>
          <t>debit</t>
        </is>
      </c>
      <c r="G28" s="6" t="inlineStr">
        <is>
          <t>balance_sheet</t>
        </is>
      </c>
    </row>
    <row r="29">
      <c r="A29" s="6" t="str"/>
      <c r="B29" s="6" t="str"/>
      <c r="C29" s="6" t="str"/>
      <c r="D29" s="6" t="inlineStr">
        <is>
          <t>SHIPPING FEE</t>
        </is>
      </c>
      <c r="E29" s="39" t="n">
        <v>2400</v>
      </c>
      <c r="F29" s="6" t="inlineStr">
        <is>
          <t>debit</t>
        </is>
      </c>
      <c r="G29" s="6" t="inlineStr">
        <is>
          <t>balance_sheet</t>
        </is>
      </c>
    </row>
    <row r="30">
      <c r="A30" s="6" t="str"/>
      <c r="B30" s="6" t="str"/>
      <c r="C30" s="6" t="str"/>
      <c r="D30" s="6" t="inlineStr">
        <is>
          <t>STORAGE FEE</t>
        </is>
      </c>
      <c r="E30" s="39" t="n">
        <v>1177.3</v>
      </c>
      <c r="F30" s="6" t="inlineStr">
        <is>
          <t>debit</t>
        </is>
      </c>
      <c r="G30" s="6" t="inlineStr">
        <is>
          <t>balance_sheet</t>
        </is>
      </c>
    </row>
    <row r="31">
      <c r="A31" s="6" t="str"/>
      <c r="B31" s="6" t="str"/>
      <c r="C31" s="6" t="str"/>
      <c r="D31" s="6" t="inlineStr">
        <is>
          <t>AMAZON LOGISCTICS EXP.</t>
        </is>
      </c>
      <c r="E31" s="39" t="n">
        <v>185392.24</v>
      </c>
      <c r="F31" s="6" t="inlineStr">
        <is>
          <t>debit</t>
        </is>
      </c>
      <c r="G31" s="6" t="inlineStr">
        <is>
          <t>balance_sheet</t>
        </is>
      </c>
    </row>
    <row r="32">
      <c r="A32" s="6" t="str"/>
      <c r="B32" s="6" t="str"/>
      <c r="C32" s="6" t="str"/>
      <c r="D32" s="6" t="inlineStr">
        <is>
          <t>COMMISSION FEE</t>
        </is>
      </c>
      <c r="E32" s="39" t="n">
        <v>2381.89</v>
      </c>
      <c r="F32" s="6" t="inlineStr">
        <is>
          <t>debit</t>
        </is>
      </c>
      <c r="G32" s="6" t="inlineStr">
        <is>
          <t>balance_sheet</t>
        </is>
      </c>
    </row>
    <row r="33">
      <c r="A33" s="6" t="str"/>
      <c r="B33" s="6" t="str"/>
      <c r="C33" s="6" t="str"/>
      <c r="D33" s="6" t="inlineStr">
        <is>
          <t>SHIPPING FEE</t>
        </is>
      </c>
      <c r="E33" s="39" t="n">
        <v>7050</v>
      </c>
      <c r="F33" s="6" t="inlineStr">
        <is>
          <t>debit</t>
        </is>
      </c>
      <c r="G33" s="6" t="inlineStr">
        <is>
          <t>balance_sheet</t>
        </is>
      </c>
    </row>
    <row r="34">
      <c r="A34" s="6" t="str"/>
      <c r="B34" s="6" t="str"/>
      <c r="C34" s="6" t="str"/>
      <c r="D34" s="6" t="inlineStr">
        <is>
          <t>STORAGE FEE</t>
        </is>
      </c>
      <c r="E34" s="39" t="n">
        <v>8181.74</v>
      </c>
      <c r="F34" s="6" t="inlineStr">
        <is>
          <t>debit</t>
        </is>
      </c>
      <c r="G34" s="6" t="inlineStr">
        <is>
          <t>balance_sheet</t>
        </is>
      </c>
    </row>
    <row r="35">
      <c r="A35" s="34" t="str"/>
      <c r="B35" s="38" t="inlineStr">
        <is>
          <t>D2C Fees</t>
        </is>
      </c>
      <c r="C35" s="34" t="str"/>
      <c r="D35" s="34" t="str"/>
      <c r="E35" s="35" t="n">
        <v>28074.76</v>
      </c>
      <c r="F35" s="34" t="inlineStr">
        <is>
          <t>3 txns</t>
        </is>
      </c>
      <c r="G35" s="34" t="inlineStr">
        <is>
          <t>balance_sheet</t>
        </is>
      </c>
    </row>
    <row r="36">
      <c r="A36" s="6" t="str"/>
      <c r="B36" s="6" t="str"/>
      <c r="C36" s="6" t="str"/>
      <c r="D36" s="6" t="inlineStr">
        <is>
          <t>COURIER &amp; POSTAGE EXPENSE</t>
        </is>
      </c>
      <c r="E36" s="39" t="n">
        <v>6740.76</v>
      </c>
      <c r="F36" s="6" t="inlineStr">
        <is>
          <t>debit</t>
        </is>
      </c>
      <c r="G36" s="6" t="inlineStr">
        <is>
          <t>balance_sheet</t>
        </is>
      </c>
    </row>
    <row r="37">
      <c r="A37" s="6" t="str"/>
      <c r="B37" s="6" t="str"/>
      <c r="C37" s="6" t="str"/>
      <c r="D37" s="6" t="inlineStr">
        <is>
          <t>FREIGHT CHARGE@%</t>
        </is>
      </c>
      <c r="E37" s="39" t="n">
        <v>761</v>
      </c>
      <c r="F37" s="6" t="inlineStr">
        <is>
          <t>debit</t>
        </is>
      </c>
      <c r="G37" s="6" t="inlineStr">
        <is>
          <t>balance_sheet</t>
        </is>
      </c>
    </row>
    <row r="38">
      <c r="A38" s="6" t="str"/>
      <c r="B38" s="6" t="str"/>
      <c r="C38" s="6" t="str"/>
      <c r="D38" s="6" t="inlineStr">
        <is>
          <t>PORTER DAILY EXP.</t>
        </is>
      </c>
      <c r="E38" s="39" t="n">
        <v>20573</v>
      </c>
      <c r="F38" s="6" t="inlineStr">
        <is>
          <t>debit</t>
        </is>
      </c>
      <c r="G38" s="6" t="inlineStr">
        <is>
          <t>balance_sheet</t>
        </is>
      </c>
    </row>
    <row r="40">
      <c r="A40" s="24" t="inlineStr">
        <is>
          <t>G. Sales &amp; Marketing</t>
        </is>
      </c>
      <c r="B40" s="24" t="str"/>
      <c r="C40" s="24" t="str"/>
      <c r="D40" s="24" t="str"/>
      <c r="E40" s="37" t="n">
        <v>488527.37</v>
      </c>
      <c r="F40" s="24" t="inlineStr">
        <is>
          <t>5 txns</t>
        </is>
      </c>
      <c r="G40" s="24" t="str"/>
    </row>
    <row r="41">
      <c r="A41" s="34" t="str"/>
      <c r="B41" s="38" t="inlineStr">
        <is>
          <t>Advertising &amp; Marketing</t>
        </is>
      </c>
      <c r="C41" s="34" t="str"/>
      <c r="D41" s="34" t="str"/>
      <c r="E41" s="35" t="n">
        <v>488527.37</v>
      </c>
      <c r="F41" s="34" t="inlineStr">
        <is>
          <t>5 txns</t>
        </is>
      </c>
      <c r="G41" s="34" t="inlineStr">
        <is>
          <t>balance_sheet</t>
        </is>
      </c>
    </row>
    <row r="42">
      <c r="A42" s="6" t="str"/>
      <c r="B42" s="6" t="str"/>
      <c r="C42" s="6" t="str"/>
      <c r="D42" s="6" t="inlineStr">
        <is>
          <t>Advertisement &amp; Publicity</t>
        </is>
      </c>
      <c r="E42" s="39" t="n">
        <v>486862.51</v>
      </c>
      <c r="F42" s="6" t="inlineStr">
        <is>
          <t>debit</t>
        </is>
      </c>
      <c r="G42" s="6" t="inlineStr">
        <is>
          <t>balance_sheet</t>
        </is>
      </c>
    </row>
    <row r="43">
      <c r="A43" s="6" t="str"/>
      <c r="B43" s="6" t="str"/>
      <c r="C43" s="6" t="str"/>
      <c r="D43" s="6" t="inlineStr">
        <is>
          <t>MARKETING CHARGES</t>
        </is>
      </c>
      <c r="E43" s="39" t="n">
        <v>20.86</v>
      </c>
      <c r="F43" s="6" t="inlineStr">
        <is>
          <t>debit</t>
        </is>
      </c>
      <c r="G43" s="6" t="inlineStr">
        <is>
          <t>balance_sheet</t>
        </is>
      </c>
    </row>
    <row r="44">
      <c r="A44" s="6" t="str"/>
      <c r="B44" s="6" t="str"/>
      <c r="C44" s="6" t="str"/>
      <c r="D44" s="6" t="inlineStr">
        <is>
          <t>Advertisement &amp; Publicity</t>
        </is>
      </c>
      <c r="E44" s="39" t="n">
        <v>977</v>
      </c>
      <c r="F44" s="6" t="inlineStr">
        <is>
          <t>debit</t>
        </is>
      </c>
      <c r="G44" s="6" t="inlineStr">
        <is>
          <t>balance_sheet</t>
        </is>
      </c>
    </row>
    <row r="45">
      <c r="A45" s="6" t="str"/>
      <c r="B45" s="6" t="str"/>
      <c r="C45" s="6" t="str"/>
      <c r="D45" s="6" t="inlineStr">
        <is>
          <t>Advertisement &amp; Publicity</t>
        </is>
      </c>
      <c r="E45" s="39" t="n">
        <v>101</v>
      </c>
      <c r="F45" s="6" t="inlineStr">
        <is>
          <t>debit</t>
        </is>
      </c>
      <c r="G45" s="6" t="inlineStr">
        <is>
          <t>balance_sheet</t>
        </is>
      </c>
    </row>
    <row r="46">
      <c r="A46" s="6" t="str"/>
      <c r="B46" s="6" t="str"/>
      <c r="C46" s="6" t="str"/>
      <c r="D46" s="6" t="inlineStr">
        <is>
          <t>Advertisement &amp; Publicity</t>
        </is>
      </c>
      <c r="E46" s="39" t="n">
        <v>566</v>
      </c>
      <c r="F46" s="6" t="inlineStr">
        <is>
          <t>debit</t>
        </is>
      </c>
      <c r="G46" s="6" t="inlineStr">
        <is>
          <t>balance_sheet</t>
        </is>
      </c>
    </row>
    <row r="48">
      <c r="A48" s="24" t="inlineStr">
        <is>
          <t>H. Platform Costs</t>
        </is>
      </c>
      <c r="B48" s="24" t="str"/>
      <c r="C48" s="24" t="str"/>
      <c r="D48" s="24" t="str"/>
      <c r="E48" s="37" t="n">
        <v>6882.69</v>
      </c>
      <c r="F48" s="24" t="inlineStr">
        <is>
          <t>1 txns</t>
        </is>
      </c>
      <c r="G48" s="24" t="str"/>
    </row>
    <row r="49">
      <c r="A49" s="34" t="str"/>
      <c r="B49" s="38" t="inlineStr">
        <is>
          <t>Shopify Subscription</t>
        </is>
      </c>
      <c r="C49" s="34" t="str"/>
      <c r="D49" s="34" t="str"/>
      <c r="E49" s="35" t="n">
        <v>6882.69</v>
      </c>
      <c r="F49" s="34" t="inlineStr">
        <is>
          <t>1 txns</t>
        </is>
      </c>
      <c r="G49" s="34" t="inlineStr">
        <is>
          <t>balance_sheet</t>
        </is>
      </c>
    </row>
    <row r="50">
      <c r="A50" s="6" t="str"/>
      <c r="B50" s="6" t="str"/>
      <c r="C50" s="6" t="str"/>
      <c r="D50" s="6" t="inlineStr">
        <is>
          <t>PLATFORM FEE</t>
        </is>
      </c>
      <c r="E50" s="39" t="n">
        <v>6882.69</v>
      </c>
      <c r="F50" s="6" t="inlineStr">
        <is>
          <t>debit</t>
        </is>
      </c>
      <c r="G50" s="6" t="inlineStr">
        <is>
          <t>balance_sheet</t>
        </is>
      </c>
    </row>
    <row r="52">
      <c r="A52" s="24" t="inlineStr">
        <is>
          <t>I. Operating Expenses</t>
        </is>
      </c>
      <c r="B52" s="24" t="str"/>
      <c r="C52" s="24" t="str"/>
      <c r="D52" s="24" t="str"/>
      <c r="E52" s="37" t="n">
        <v>676512.0600000001</v>
      </c>
      <c r="F52" s="24" t="inlineStr">
        <is>
          <t>24 txns</t>
        </is>
      </c>
      <c r="G52" s="24" t="str"/>
    </row>
    <row r="53">
      <c r="A53" s="34" t="str"/>
      <c r="B53" s="38" t="inlineStr">
        <is>
          <t>Legal &amp; CA expenses</t>
        </is>
      </c>
      <c r="C53" s="34" t="str"/>
      <c r="D53" s="34" t="str"/>
      <c r="E53" s="35" t="n">
        <v>49000</v>
      </c>
      <c r="F53" s="34" t="inlineStr">
        <is>
          <t>3 txns</t>
        </is>
      </c>
      <c r="G53" s="34" t="inlineStr">
        <is>
          <t>balance_sheet</t>
        </is>
      </c>
    </row>
    <row r="54">
      <c r="A54" s="6" t="str"/>
      <c r="B54" s="6" t="str"/>
      <c r="C54" s="6" t="str"/>
      <c r="D54" s="6" t="inlineStr">
        <is>
          <t>ACCOUNTING &amp; RETURN FILLING</t>
        </is>
      </c>
      <c r="E54" s="39" t="n">
        <v>4000</v>
      </c>
      <c r="F54" s="6" t="inlineStr">
        <is>
          <t>debit</t>
        </is>
      </c>
      <c r="G54" s="6" t="inlineStr">
        <is>
          <t>balance_sheet</t>
        </is>
      </c>
    </row>
    <row r="55">
      <c r="A55" s="6" t="str"/>
      <c r="B55" s="6" t="str"/>
      <c r="C55" s="6" t="str"/>
      <c r="D55" s="6" t="inlineStr">
        <is>
          <t>CONSULTANCY CHARGES</t>
        </is>
      </c>
      <c r="E55" s="39" t="n">
        <v>10000</v>
      </c>
      <c r="F55" s="6" t="inlineStr">
        <is>
          <t>debit</t>
        </is>
      </c>
      <c r="G55" s="6" t="inlineStr">
        <is>
          <t>balance_sheet</t>
        </is>
      </c>
    </row>
    <row r="56">
      <c r="A56" s="6" t="str"/>
      <c r="B56" s="6" t="str"/>
      <c r="C56" s="6" t="str"/>
      <c r="D56" s="6" t="inlineStr">
        <is>
          <t>LEGAL &amp; PROFESSIONAL EXPENS</t>
        </is>
      </c>
      <c r="E56" s="39" t="n">
        <v>35000</v>
      </c>
      <c r="F56" s="6" t="inlineStr">
        <is>
          <t>debit</t>
        </is>
      </c>
      <c r="G56" s="6" t="inlineStr">
        <is>
          <t>balance_sheet</t>
        </is>
      </c>
    </row>
    <row r="57">
      <c r="A57" s="34" t="str"/>
      <c r="B57" s="38" t="inlineStr">
        <is>
          <t>Other Operating Expenses</t>
        </is>
      </c>
      <c r="C57" s="34" t="str"/>
      <c r="D57" s="34" t="str"/>
      <c r="E57" s="35" t="n">
        <v>57922.59</v>
      </c>
      <c r="F57" s="34" t="inlineStr">
        <is>
          <t>9 txns</t>
        </is>
      </c>
      <c r="G57" s="34" t="inlineStr">
        <is>
          <t>balance_sheet</t>
        </is>
      </c>
    </row>
    <row r="58">
      <c r="A58" s="6" t="str"/>
      <c r="B58" s="6" t="str"/>
      <c r="C58" s="6" t="str"/>
      <c r="D58" s="6" t="inlineStr">
        <is>
          <t>AVANISH KUMAR (EXP. A/C)</t>
        </is>
      </c>
      <c r="E58" s="39" t="n">
        <v>-6073</v>
      </c>
      <c r="F58" s="6" t="inlineStr">
        <is>
          <t>debit</t>
        </is>
      </c>
      <c r="G58" s="6" t="inlineStr">
        <is>
          <t>balance_sheet</t>
        </is>
      </c>
    </row>
    <row r="59">
      <c r="A59" s="6" t="str"/>
      <c r="B59" s="6" t="str"/>
      <c r="C59" s="6" t="str"/>
      <c r="D59" s="6" t="inlineStr">
        <is>
          <t>Rounded Off</t>
        </is>
      </c>
      <c r="E59" s="39" t="n">
        <v>-4.06</v>
      </c>
      <c r="F59" s="6" t="inlineStr">
        <is>
          <t>debit</t>
        </is>
      </c>
      <c r="G59" s="6" t="inlineStr">
        <is>
          <t>balance_sheet</t>
        </is>
      </c>
    </row>
    <row r="60">
      <c r="A60" s="6" t="str"/>
      <c r="B60" s="6" t="str"/>
      <c r="C60" s="6" t="str"/>
      <c r="D60" s="6" t="inlineStr">
        <is>
          <t>TRANSPOTATION EXPENSES</t>
        </is>
      </c>
      <c r="E60" s="39" t="n">
        <v>15795</v>
      </c>
      <c r="F60" s="6" t="inlineStr">
        <is>
          <t>debit</t>
        </is>
      </c>
      <c r="G60" s="6" t="inlineStr">
        <is>
          <t>balance_sheet</t>
        </is>
      </c>
    </row>
    <row r="61">
      <c r="A61" s="6" t="str"/>
      <c r="B61" s="6" t="str"/>
      <c r="C61" s="6" t="str"/>
      <c r="D61" s="6" t="inlineStr">
        <is>
          <t>WEBSITE &amp; DEVLOPMENT EXP.</t>
        </is>
      </c>
      <c r="E61" s="39" t="n">
        <v>47856</v>
      </c>
      <c r="F61" s="6" t="inlineStr">
        <is>
          <t>debit</t>
        </is>
      </c>
      <c r="G61" s="6" t="inlineStr">
        <is>
          <t>balance_sheet</t>
        </is>
      </c>
    </row>
    <row r="62">
      <c r="A62" s="6" t="str"/>
      <c r="B62" s="6" t="str"/>
      <c r="C62" s="6" t="str"/>
      <c r="D62" s="6" t="inlineStr">
        <is>
          <t>RETURN FEE</t>
        </is>
      </c>
      <c r="E62" s="39" t="n">
        <v>200</v>
      </c>
      <c r="F62" s="6" t="inlineStr">
        <is>
          <t>debit</t>
        </is>
      </c>
      <c r="G62" s="6" t="inlineStr">
        <is>
          <t>balance_sheet</t>
        </is>
      </c>
    </row>
    <row r="63">
      <c r="A63" s="6" t="str"/>
      <c r="B63" s="6" t="str"/>
      <c r="C63" s="6" t="str"/>
      <c r="D63" s="6" t="inlineStr">
        <is>
          <t>Rounded Off</t>
        </is>
      </c>
      <c r="E63" s="39" t="n">
        <v>-1.73</v>
      </c>
      <c r="F63" s="6" t="inlineStr">
        <is>
          <t>debit</t>
        </is>
      </c>
      <c r="G63" s="6" t="inlineStr">
        <is>
          <t>balance_sheet</t>
        </is>
      </c>
    </row>
    <row r="64">
      <c r="A64" s="6" t="str"/>
      <c r="B64" s="6" t="str"/>
      <c r="C64" s="6" t="str"/>
      <c r="D64" s="6" t="inlineStr">
        <is>
          <t>Rounded Off</t>
        </is>
      </c>
      <c r="E64" s="39" t="n">
        <v>-0.7</v>
      </c>
      <c r="F64" s="6" t="inlineStr">
        <is>
          <t>debit</t>
        </is>
      </c>
      <c r="G64" s="6" t="inlineStr">
        <is>
          <t>balance_sheet</t>
        </is>
      </c>
    </row>
    <row r="65">
      <c r="A65" s="6" t="str"/>
      <c r="B65" s="6" t="str"/>
      <c r="C65" s="6" t="str"/>
      <c r="D65" s="6" t="inlineStr">
        <is>
          <t>RETURN FEE</t>
        </is>
      </c>
      <c r="E65" s="39" t="n">
        <v>150</v>
      </c>
      <c r="F65" s="6" t="inlineStr">
        <is>
          <t>debit</t>
        </is>
      </c>
      <c r="G65" s="6" t="inlineStr">
        <is>
          <t>balance_sheet</t>
        </is>
      </c>
    </row>
    <row r="66">
      <c r="A66" s="6" t="str"/>
      <c r="B66" s="6" t="str"/>
      <c r="C66" s="6" t="str"/>
      <c r="D66" s="6" t="inlineStr">
        <is>
          <t>Rounded Off</t>
        </is>
      </c>
      <c r="E66" s="39" t="n">
        <v>1.08</v>
      </c>
      <c r="F66" s="6" t="inlineStr">
        <is>
          <t>debit</t>
        </is>
      </c>
      <c r="G66" s="6" t="inlineStr">
        <is>
          <t>balance_sheet</t>
        </is>
      </c>
    </row>
    <row r="67">
      <c r="A67" s="34" t="str"/>
      <c r="B67" s="38" t="inlineStr">
        <is>
          <t>Banks &amp; Finance Charges</t>
        </is>
      </c>
      <c r="C67" s="34" t="str"/>
      <c r="D67" s="34" t="str"/>
      <c r="E67" s="35" t="n">
        <v>204</v>
      </c>
      <c r="F67" s="34" t="inlineStr">
        <is>
          <t>1 txns</t>
        </is>
      </c>
      <c r="G67" s="34" t="inlineStr">
        <is>
          <t>balance_sheet</t>
        </is>
      </c>
    </row>
    <row r="68">
      <c r="A68" s="6" t="str"/>
      <c r="B68" s="6" t="str"/>
      <c r="C68" s="6" t="str"/>
      <c r="D68" s="6" t="inlineStr">
        <is>
          <t>Bank Charges@%</t>
        </is>
      </c>
      <c r="E68" s="39" t="n">
        <v>204</v>
      </c>
      <c r="F68" s="6" t="inlineStr">
        <is>
          <t>debit</t>
        </is>
      </c>
      <c r="G68" s="6" t="inlineStr">
        <is>
          <t>balance_sheet</t>
        </is>
      </c>
    </row>
    <row r="69">
      <c r="A69" s="34" t="str"/>
      <c r="B69" s="38" t="inlineStr">
        <is>
          <t>Salaries (Admin Mgmt)</t>
        </is>
      </c>
      <c r="C69" s="34" t="str"/>
      <c r="D69" s="34" t="str"/>
      <c r="E69" s="35" t="n">
        <v>353455</v>
      </c>
      <c r="F69" s="34" t="inlineStr">
        <is>
          <t>2 txns</t>
        </is>
      </c>
      <c r="G69" s="34" t="inlineStr">
        <is>
          <t>balance_sheet</t>
        </is>
      </c>
    </row>
    <row r="70">
      <c r="A70" s="6" t="str"/>
      <c r="B70" s="6" t="str"/>
      <c r="C70" s="6" t="str"/>
      <c r="D70" s="6" t="inlineStr">
        <is>
          <t>ESI EMPLOYER CONTRIBUTTION E</t>
        </is>
      </c>
      <c r="E70" s="39" t="n">
        <v>3018</v>
      </c>
      <c r="F70" s="6" t="inlineStr">
        <is>
          <t>debit</t>
        </is>
      </c>
      <c r="G70" s="6" t="inlineStr">
        <is>
          <t>balance_sheet</t>
        </is>
      </c>
    </row>
    <row r="71">
      <c r="A71" s="6" t="str"/>
      <c r="B71" s="6" t="str"/>
      <c r="C71" s="6" t="str"/>
      <c r="D71" s="6" t="inlineStr">
        <is>
          <t>Salary Expenses</t>
        </is>
      </c>
      <c r="E71" s="39" t="n">
        <v>350437</v>
      </c>
      <c r="F71" s="6" t="inlineStr">
        <is>
          <t>debit</t>
        </is>
      </c>
      <c r="G71" s="6" t="inlineStr">
        <is>
          <t>balance_sheet</t>
        </is>
      </c>
    </row>
    <row r="72">
      <c r="A72" s="34" t="str"/>
      <c r="B72" s="38" t="inlineStr">
        <is>
          <t>Miscellaneous (Travel, insurance)</t>
        </is>
      </c>
      <c r="C72" s="34" t="str"/>
      <c r="D72" s="34" t="str"/>
      <c r="E72" s="35" t="n">
        <v>37810</v>
      </c>
      <c r="F72" s="34" t="inlineStr">
        <is>
          <t>2 txns</t>
        </is>
      </c>
      <c r="G72" s="34" t="inlineStr">
        <is>
          <t>balance_sheet</t>
        </is>
      </c>
    </row>
    <row r="73">
      <c r="A73" s="6" t="str"/>
      <c r="B73" s="6" t="str"/>
      <c r="C73" s="6" t="str"/>
      <c r="D73" s="6" t="inlineStr">
        <is>
          <t>INSURANCE EXPENSES</t>
        </is>
      </c>
      <c r="E73" s="39" t="n">
        <v>23010</v>
      </c>
      <c r="F73" s="6" t="inlineStr">
        <is>
          <t>debit</t>
        </is>
      </c>
      <c r="G73" s="6" t="inlineStr">
        <is>
          <t>balance_sheet</t>
        </is>
      </c>
    </row>
    <row r="74">
      <c r="A74" s="6" t="str"/>
      <c r="B74" s="6" t="str"/>
      <c r="C74" s="6" t="str"/>
      <c r="D74" s="6" t="inlineStr">
        <is>
          <t>Travelling Expenses</t>
        </is>
      </c>
      <c r="E74" s="39" t="n">
        <v>14800</v>
      </c>
      <c r="F74" s="6" t="inlineStr">
        <is>
          <t>debit</t>
        </is>
      </c>
      <c r="G74" s="6" t="inlineStr">
        <is>
          <t>balance_sheet</t>
        </is>
      </c>
    </row>
    <row r="75">
      <c r="A75" s="34" t="str"/>
      <c r="B75" s="38" t="inlineStr">
        <is>
          <t>Administrative Expenses</t>
        </is>
      </c>
      <c r="C75" s="34" t="str"/>
      <c r="D75" s="34" t="str"/>
      <c r="E75" s="35" t="n">
        <v>176630.47</v>
      </c>
      <c r="F75" s="34" t="inlineStr">
        <is>
          <t>6 txns</t>
        </is>
      </c>
      <c r="G75" s="34" t="inlineStr">
        <is>
          <t>balance_sheet</t>
        </is>
      </c>
    </row>
    <row r="76">
      <c r="A76" s="6" t="str"/>
      <c r="B76" s="6" t="str"/>
      <c r="C76" s="6" t="str"/>
      <c r="D76" s="6" t="inlineStr">
        <is>
          <t>OFFICE EXPENSES @ %</t>
        </is>
      </c>
      <c r="E76" s="39" t="n">
        <v>1361</v>
      </c>
      <c r="F76" s="6" t="inlineStr">
        <is>
          <t>debit</t>
        </is>
      </c>
      <c r="G76" s="6" t="inlineStr">
        <is>
          <t>balance_sheet</t>
        </is>
      </c>
    </row>
    <row r="77">
      <c r="A77" s="6" t="str"/>
      <c r="B77" s="6" t="str"/>
      <c r="C77" s="6" t="str"/>
      <c r="D77" s="6" t="inlineStr">
        <is>
          <t>Office Maintenance Expenses</t>
        </is>
      </c>
      <c r="E77" s="39" t="n">
        <v>11100</v>
      </c>
      <c r="F77" s="6" t="inlineStr">
        <is>
          <t>debit</t>
        </is>
      </c>
      <c r="G77" s="6" t="inlineStr">
        <is>
          <t>balance_sheet</t>
        </is>
      </c>
    </row>
    <row r="78">
      <c r="A78" s="6" t="str"/>
      <c r="B78" s="6" t="str"/>
      <c r="C78" s="6" t="str"/>
      <c r="D78" s="6" t="inlineStr">
        <is>
          <t>Office Rent</t>
        </is>
      </c>
      <c r="E78" s="39" t="n">
        <v>144453.13</v>
      </c>
      <c r="F78" s="6" t="inlineStr">
        <is>
          <t>debit</t>
        </is>
      </c>
      <c r="G78" s="6" t="inlineStr">
        <is>
          <t>balance_sheet</t>
        </is>
      </c>
    </row>
    <row r="79">
      <c r="A79" s="6" t="str"/>
      <c r="B79" s="6" t="str"/>
      <c r="C79" s="6" t="str"/>
      <c r="D79" s="6" t="inlineStr">
        <is>
          <t>Printing &amp; Stationery@%</t>
        </is>
      </c>
      <c r="E79" s="39" t="n">
        <v>5126.44</v>
      </c>
      <c r="F79" s="6" t="inlineStr">
        <is>
          <t>debit</t>
        </is>
      </c>
      <c r="G79" s="6" t="inlineStr">
        <is>
          <t>balance_sheet</t>
        </is>
      </c>
    </row>
    <row r="80">
      <c r="A80" s="6" t="str"/>
      <c r="B80" s="6" t="str"/>
      <c r="C80" s="6" t="str"/>
      <c r="D80" s="6" t="inlineStr">
        <is>
          <t>PRINTING STATIONERY EXPENSES</t>
        </is>
      </c>
      <c r="E80" s="39" t="n">
        <v>1350</v>
      </c>
      <c r="F80" s="6" t="inlineStr">
        <is>
          <t>debit</t>
        </is>
      </c>
      <c r="G80" s="6" t="inlineStr">
        <is>
          <t>balance_sheet</t>
        </is>
      </c>
    </row>
    <row r="81">
      <c r="A81" s="6" t="str"/>
      <c r="B81" s="6" t="str"/>
      <c r="C81" s="6" t="str"/>
      <c r="D81" s="6" t="inlineStr">
        <is>
          <t>VEHICAL RUNING MAINTENANCE</t>
        </is>
      </c>
      <c r="E81" s="39" t="n">
        <v>13239.9</v>
      </c>
      <c r="F81" s="6" t="inlineStr">
        <is>
          <t>debit</t>
        </is>
      </c>
      <c r="G81" s="6" t="inlineStr">
        <is>
          <t>balance_sheet</t>
        </is>
      </c>
    </row>
    <row r="82">
      <c r="A82" s="34" t="str"/>
      <c r="B82" s="38" t="inlineStr">
        <is>
          <t>Staff Welfare &amp; Events</t>
        </is>
      </c>
      <c r="C82" s="34" t="str"/>
      <c r="D82" s="34" t="str"/>
      <c r="E82" s="35" t="n">
        <v>1490</v>
      </c>
      <c r="F82" s="34" t="inlineStr">
        <is>
          <t>1 txns</t>
        </is>
      </c>
      <c r="G82" s="34" t="inlineStr">
        <is>
          <t>balance_sheet</t>
        </is>
      </c>
    </row>
    <row r="83">
      <c r="A83" s="6" t="str"/>
      <c r="B83" s="6" t="str"/>
      <c r="C83" s="6" t="str"/>
      <c r="D83" s="6" t="inlineStr">
        <is>
          <t>STAFF WELFARE EXPENSES</t>
        </is>
      </c>
      <c r="E83" s="39" t="n">
        <v>1490</v>
      </c>
      <c r="F83" s="6" t="inlineStr">
        <is>
          <t>debit</t>
        </is>
      </c>
      <c r="G83" s="6" t="inlineStr">
        <is>
          <t>balance_sheet</t>
        </is>
      </c>
    </row>
    <row r="85">
      <c r="A85" s="24" t="inlineStr">
        <is>
          <t>J. Non-Operating</t>
        </is>
      </c>
      <c r="B85" s="24" t="str"/>
      <c r="C85" s="24" t="str"/>
      <c r="D85" s="24" t="str"/>
      <c r="E85" s="37" t="n">
        <v>62589</v>
      </c>
      <c r="F85" s="24" t="inlineStr">
        <is>
          <t>1 txns</t>
        </is>
      </c>
      <c r="G85" s="24" t="str"/>
    </row>
    <row r="86">
      <c r="A86" s="34" t="str"/>
      <c r="B86" s="38" t="inlineStr">
        <is>
          <t>Less: Interest Expense</t>
        </is>
      </c>
      <c r="C86" s="34" t="str"/>
      <c r="D86" s="34" t="str"/>
      <c r="E86" s="35" t="n">
        <v>62589</v>
      </c>
      <c r="F86" s="34" t="inlineStr">
        <is>
          <t>1 txns</t>
        </is>
      </c>
      <c r="G86" s="34" t="inlineStr">
        <is>
          <t>balance_sheet</t>
        </is>
      </c>
    </row>
    <row r="87">
      <c r="A87" s="6" t="str"/>
      <c r="B87" s="6" t="str"/>
      <c r="C87" s="6" t="str"/>
      <c r="D87" s="6" t="inlineStr">
        <is>
          <t>INTEREST ON OD LIMIT</t>
        </is>
      </c>
      <c r="E87" s="39" t="n">
        <v>62589</v>
      </c>
      <c r="F87" s="6" t="inlineStr">
        <is>
          <t>debit</t>
        </is>
      </c>
      <c r="G87" s="6" t="inlineStr">
        <is>
          <t>balance_sheet</t>
        </is>
      </c>
    </row>
  </sheetData>
  <mergeCells count="1">
    <mergeCell ref="A1:G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cols>
    <col width="25.83203125" customWidth="1" style="2" min="1" max="1"/>
    <col width="30.83203125" customWidth="1" style="2" min="2" max="2"/>
    <col width="12.83203125" customWidth="1" style="2" min="3" max="3"/>
    <col width="45.83203125" customWidth="1" style="2" min="4" max="4"/>
    <col width="15.83203125" customWidth="1" style="2" min="5" max="5"/>
    <col width="10.83203125" customWidth="1" style="2" min="6" max="6"/>
    <col width="15.83203125" customWidth="1" style="2" min="7" max="7"/>
  </cols>
  <sheetData>
    <row r="1">
      <c r="A1" s="40" t="inlineStr">
        <is>
          <t>May 2025 - TRANSACTION DETAILS</t>
        </is>
      </c>
    </row>
    <row r="3">
      <c r="A3" s="5" t="inlineStr">
        <is>
          <t>Head</t>
        </is>
      </c>
      <c r="B3" s="5" t="inlineStr">
        <is>
          <t>Subhead</t>
        </is>
      </c>
      <c r="C3" s="5" t="inlineStr">
        <is>
          <t>Date</t>
        </is>
      </c>
      <c r="D3" s="5" t="inlineStr">
        <is>
          <t>Account</t>
        </is>
      </c>
      <c r="E3" s="5" t="inlineStr">
        <is>
          <t>Amount (₹)</t>
        </is>
      </c>
      <c r="F3" s="5" t="inlineStr">
        <is>
          <t>Type</t>
        </is>
      </c>
      <c r="G3" s="5" t="inlineStr">
        <is>
          <t>Source</t>
        </is>
      </c>
    </row>
    <row r="4">
      <c r="A4" s="24" t="inlineStr">
        <is>
          <t>E. COGM</t>
        </is>
      </c>
      <c r="B4" s="24" t="str"/>
      <c r="C4" s="24" t="str"/>
      <c r="D4" s="24" t="str"/>
      <c r="E4" s="37" t="n">
        <v>117806.5</v>
      </c>
      <c r="F4" s="24" t="inlineStr">
        <is>
          <t>7 txns</t>
        </is>
      </c>
      <c r="G4" s="24" t="str"/>
    </row>
    <row r="5">
      <c r="A5" s="34" t="str"/>
      <c r="B5" s="38" t="inlineStr">
        <is>
          <t>Raw Materials &amp; Inventory</t>
        </is>
      </c>
      <c r="C5" s="34" t="str"/>
      <c r="D5" s="34" t="str"/>
      <c r="E5" s="35" t="n">
        <v>760843.39</v>
      </c>
      <c r="F5" s="34" t="inlineStr">
        <is>
          <t>1 txns</t>
        </is>
      </c>
      <c r="G5" s="34" t="inlineStr">
        <is>
          <t>calculated</t>
        </is>
      </c>
    </row>
    <row r="6">
      <c r="A6" s="6" t="str"/>
      <c r="B6" s="6" t="str"/>
      <c r="C6" s="6" t="str"/>
      <c r="D6" s="6" t="inlineStr">
        <is>
          <t>Raw Materials (Prorated by Revenue)</t>
        </is>
      </c>
      <c r="E6" s="39" t="n">
        <v>760843.39</v>
      </c>
      <c r="F6" s="6" t="inlineStr">
        <is>
          <t>debit</t>
        </is>
      </c>
      <c r="G6" s="6" t="inlineStr">
        <is>
          <t>calculated</t>
        </is>
      </c>
    </row>
    <row r="7">
      <c r="A7" s="34" t="str"/>
      <c r="B7" s="38" t="inlineStr">
        <is>
          <t>Consumables</t>
        </is>
      </c>
      <c r="C7" s="34" t="str"/>
      <c r="D7" s="34" t="str"/>
      <c r="E7" s="35" t="n">
        <v>3700</v>
      </c>
      <c r="F7" s="34" t="inlineStr">
        <is>
          <t>1 txns</t>
        </is>
      </c>
      <c r="G7" s="34" t="inlineStr">
        <is>
          <t>balance_sheet</t>
        </is>
      </c>
    </row>
    <row r="8">
      <c r="A8" s="6" t="str"/>
      <c r="B8" s="6" t="str"/>
      <c r="C8" s="6" t="str"/>
      <c r="D8" s="6" t="inlineStr">
        <is>
          <t>CONSUMABLE EXPENSES @%</t>
        </is>
      </c>
      <c r="E8" s="39" t="n">
        <v>3700</v>
      </c>
      <c r="F8" s="6" t="inlineStr">
        <is>
          <t>debit</t>
        </is>
      </c>
      <c r="G8" s="6" t="inlineStr">
        <is>
          <t>balance_sheet</t>
        </is>
      </c>
    </row>
    <row r="9">
      <c r="A9" s="34" t="str"/>
      <c r="B9" s="38" t="inlineStr">
        <is>
          <t>Factory Maintenance</t>
        </is>
      </c>
      <c r="C9" s="34" t="str"/>
      <c r="D9" s="34" t="str"/>
      <c r="E9" s="35" t="n">
        <v>36363</v>
      </c>
      <c r="F9" s="34" t="inlineStr">
        <is>
          <t>2 txns</t>
        </is>
      </c>
      <c r="G9" s="34" t="inlineStr">
        <is>
          <t>balance_sheet</t>
        </is>
      </c>
    </row>
    <row r="10">
      <c r="A10" s="6" t="str"/>
      <c r="B10" s="6" t="str"/>
      <c r="C10" s="6" t="str"/>
      <c r="D10" s="6" t="inlineStr">
        <is>
          <t>Electricity &amp; Water Expenses</t>
        </is>
      </c>
      <c r="E10" s="39" t="n">
        <v>17363</v>
      </c>
      <c r="F10" s="6" t="inlineStr">
        <is>
          <t>debit</t>
        </is>
      </c>
      <c r="G10" s="6" t="inlineStr">
        <is>
          <t>balance_sheet</t>
        </is>
      </c>
    </row>
    <row r="11">
      <c r="A11" s="6" t="str"/>
      <c r="B11" s="6" t="str"/>
      <c r="C11" s="6" t="str"/>
      <c r="D11" s="6" t="inlineStr">
        <is>
          <t>POWER BACKUP &amp; MAITENANCE (D</t>
        </is>
      </c>
      <c r="E11" s="39" t="n">
        <v>19000</v>
      </c>
      <c r="F11" s="6" t="inlineStr">
        <is>
          <t>debit</t>
        </is>
      </c>
      <c r="G11" s="6" t="inlineStr">
        <is>
          <t>balance_sheet</t>
        </is>
      </c>
    </row>
    <row r="12">
      <c r="A12" s="34" t="str"/>
      <c r="B12" s="38" t="inlineStr">
        <is>
          <t>Inbound Transport</t>
        </is>
      </c>
      <c r="C12" s="34" t="str"/>
      <c r="D12" s="34" t="str"/>
      <c r="E12" s="35" t="n">
        <v>5581</v>
      </c>
      <c r="F12" s="34" t="inlineStr">
        <is>
          <t>2 txns</t>
        </is>
      </c>
      <c r="G12" s="34" t="inlineStr">
        <is>
          <t>balance_sheet</t>
        </is>
      </c>
    </row>
    <row r="13">
      <c r="A13" s="6" t="str"/>
      <c r="B13" s="6" t="str"/>
      <c r="C13" s="6" t="str"/>
      <c r="D13" s="6" t="inlineStr">
        <is>
          <t>FREIGHT CHARES @%</t>
        </is>
      </c>
      <c r="E13" s="39" t="n">
        <v>2581</v>
      </c>
      <c r="F13" s="6" t="inlineStr">
        <is>
          <t>debit</t>
        </is>
      </c>
      <c r="G13" s="6" t="inlineStr">
        <is>
          <t>balance_sheet</t>
        </is>
      </c>
    </row>
    <row r="14">
      <c r="A14" s="6" t="str"/>
      <c r="B14" s="6" t="str"/>
      <c r="C14" s="6" t="str"/>
      <c r="D14" s="6" t="inlineStr">
        <is>
          <t>FREIGHT CHARGES@%</t>
        </is>
      </c>
      <c r="E14" s="39" t="n">
        <v>3000</v>
      </c>
      <c r="F14" s="6" t="inlineStr">
        <is>
          <t>debit</t>
        </is>
      </c>
      <c r="G14" s="6" t="inlineStr">
        <is>
          <t>balance_sheet</t>
        </is>
      </c>
    </row>
    <row r="15">
      <c r="A15" s="34" t="str"/>
      <c r="B15" s="38" t="inlineStr">
        <is>
          <t>Job work</t>
        </is>
      </c>
      <c r="C15" s="34" t="str"/>
      <c r="D15" s="34" t="str"/>
      <c r="E15" s="35" t="n">
        <v>62162.5</v>
      </c>
      <c r="F15" s="34" t="inlineStr">
        <is>
          <t>1 txns</t>
        </is>
      </c>
      <c r="G15" s="34" t="inlineStr">
        <is>
          <t>balance_sheet</t>
        </is>
      </c>
    </row>
    <row r="16">
      <c r="A16" s="6" t="str"/>
      <c r="B16" s="6" t="str"/>
      <c r="C16" s="6" t="str"/>
      <c r="D16" s="6" t="inlineStr">
        <is>
          <t>JOB WORK @%</t>
        </is>
      </c>
      <c r="E16" s="39" t="n">
        <v>62162.5</v>
      </c>
      <c r="F16" s="6" t="inlineStr">
        <is>
          <t>debit</t>
        </is>
      </c>
      <c r="G16" s="6" t="inlineStr">
        <is>
          <t>balance_sheet</t>
        </is>
      </c>
    </row>
    <row r="17">
      <c r="A17" s="34" t="str"/>
      <c r="B17" s="38" t="inlineStr">
        <is>
          <t>Manufacturing Wages</t>
        </is>
      </c>
      <c r="C17" s="34" t="str"/>
      <c r="D17" s="34" t="str"/>
      <c r="E17" s="35" t="n">
        <v>10000</v>
      </c>
      <c r="F17" s="34" t="inlineStr">
        <is>
          <t>1 txns</t>
        </is>
      </c>
      <c r="G17" s="34" t="inlineStr">
        <is>
          <t>balance_sheet</t>
        </is>
      </c>
    </row>
    <row r="18">
      <c r="A18" s="6" t="str"/>
      <c r="B18" s="6" t="str"/>
      <c r="C18" s="6" t="str"/>
      <c r="D18" s="6" t="inlineStr">
        <is>
          <t>LABOUR &amp; WAGES EXPENSES</t>
        </is>
      </c>
      <c r="E18" s="39" t="n">
        <v>10000</v>
      </c>
      <c r="F18" s="6" t="inlineStr">
        <is>
          <t>debit</t>
        </is>
      </c>
      <c r="G18" s="6" t="inlineStr">
        <is>
          <t>balance_sheet</t>
        </is>
      </c>
    </row>
    <row r="20">
      <c r="A20" s="24" t="inlineStr">
        <is>
          <t>F. Channel &amp; Fulfillment</t>
        </is>
      </c>
      <c r="B20" s="24" t="str"/>
      <c r="C20" s="24" t="str"/>
      <c r="D20" s="24" t="str"/>
      <c r="E20" s="37" t="n">
        <v>576932.23</v>
      </c>
      <c r="F20" s="24" t="inlineStr">
        <is>
          <t>14 txns</t>
        </is>
      </c>
      <c r="G20" s="24" t="str"/>
    </row>
    <row r="21">
      <c r="A21" s="34" t="str"/>
      <c r="B21" s="38" t="inlineStr">
        <is>
          <t>Amazon Fees</t>
        </is>
      </c>
      <c r="C21" s="34" t="str"/>
      <c r="D21" s="34" t="str"/>
      <c r="E21" s="35" t="n">
        <v>532128.39</v>
      </c>
      <c r="F21" s="34" t="inlineStr">
        <is>
          <t>9 txns</t>
        </is>
      </c>
      <c r="G21" s="34" t="inlineStr">
        <is>
          <t>balance_sheet</t>
        </is>
      </c>
    </row>
    <row r="22">
      <c r="A22" s="6" t="str"/>
      <c r="B22" s="6" t="str"/>
      <c r="C22" s="6" t="str"/>
      <c r="D22" s="6" t="inlineStr">
        <is>
          <t>AMAZON LOGISTICS EXP.</t>
        </is>
      </c>
      <c r="E22" s="39" t="n">
        <v>142958.52</v>
      </c>
      <c r="F22" s="6" t="inlineStr">
        <is>
          <t>debit</t>
        </is>
      </c>
      <c r="G22" s="6" t="inlineStr">
        <is>
          <t>balance_sheet</t>
        </is>
      </c>
    </row>
    <row r="23">
      <c r="A23" s="6" t="str"/>
      <c r="B23" s="6" t="str"/>
      <c r="C23" s="6" t="str"/>
      <c r="D23" s="6" t="inlineStr">
        <is>
          <t>AMAZON LOGISTICS EXP.</t>
        </is>
      </c>
      <c r="E23" s="39" t="n">
        <v>152054.54</v>
      </c>
      <c r="F23" s="6" t="inlineStr">
        <is>
          <t>debit</t>
        </is>
      </c>
      <c r="G23" s="6" t="inlineStr">
        <is>
          <t>balance_sheet</t>
        </is>
      </c>
    </row>
    <row r="24">
      <c r="A24" s="6" t="str"/>
      <c r="B24" s="6" t="str"/>
      <c r="C24" s="6" t="str"/>
      <c r="D24" s="6" t="inlineStr">
        <is>
          <t>COMMISSION FEE</t>
        </is>
      </c>
      <c r="E24" s="39" t="n">
        <v>7264.27</v>
      </c>
      <c r="F24" s="6" t="inlineStr">
        <is>
          <t>debit</t>
        </is>
      </c>
      <c r="G24" s="6" t="inlineStr">
        <is>
          <t>balance_sheet</t>
        </is>
      </c>
    </row>
    <row r="25">
      <c r="A25" s="6" t="str"/>
      <c r="B25" s="6" t="str"/>
      <c r="C25" s="6" t="str"/>
      <c r="D25" s="6" t="inlineStr">
        <is>
          <t>SHIPPING FEE</t>
        </is>
      </c>
      <c r="E25" s="39" t="n">
        <v>7750</v>
      </c>
      <c r="F25" s="6" t="inlineStr">
        <is>
          <t>debit</t>
        </is>
      </c>
      <c r="G25" s="6" t="inlineStr">
        <is>
          <t>balance_sheet</t>
        </is>
      </c>
    </row>
    <row r="26">
      <c r="A26" s="6" t="str"/>
      <c r="B26" s="6" t="str"/>
      <c r="C26" s="6" t="str"/>
      <c r="D26" s="6" t="inlineStr">
        <is>
          <t>STORAGE FEE</t>
        </is>
      </c>
      <c r="E26" s="39" t="n">
        <v>11754.76</v>
      </c>
      <c r="F26" s="6" t="inlineStr">
        <is>
          <t>debit</t>
        </is>
      </c>
      <c r="G26" s="6" t="inlineStr">
        <is>
          <t>balance_sheet</t>
        </is>
      </c>
    </row>
    <row r="27">
      <c r="A27" s="6" t="str"/>
      <c r="B27" s="6" t="str"/>
      <c r="C27" s="6" t="str"/>
      <c r="D27" s="6" t="inlineStr">
        <is>
          <t>AMAZON LOGISCTICS EXP.</t>
        </is>
      </c>
      <c r="E27" s="39" t="n">
        <v>193263.04</v>
      </c>
      <c r="F27" s="6" t="inlineStr">
        <is>
          <t>debit</t>
        </is>
      </c>
      <c r="G27" s="6" t="inlineStr">
        <is>
          <t>balance_sheet</t>
        </is>
      </c>
    </row>
    <row r="28">
      <c r="A28" s="6" t="str"/>
      <c r="B28" s="6" t="str"/>
      <c r="C28" s="6" t="str"/>
      <c r="D28" s="6" t="inlineStr">
        <is>
          <t>COMMISSION FEE</t>
        </is>
      </c>
      <c r="E28" s="39" t="n">
        <v>4733.63</v>
      </c>
      <c r="F28" s="6" t="inlineStr">
        <is>
          <t>debit</t>
        </is>
      </c>
      <c r="G28" s="6" t="inlineStr">
        <is>
          <t>balance_sheet</t>
        </is>
      </c>
    </row>
    <row r="29">
      <c r="A29" s="6" t="str"/>
      <c r="B29" s="6" t="str"/>
      <c r="C29" s="6" t="str"/>
      <c r="D29" s="6" t="inlineStr">
        <is>
          <t>SHIPPING FEE</t>
        </is>
      </c>
      <c r="E29" s="39" t="n">
        <v>5100</v>
      </c>
      <c r="F29" s="6" t="inlineStr">
        <is>
          <t>debit</t>
        </is>
      </c>
      <c r="G29" s="6" t="inlineStr">
        <is>
          <t>balance_sheet</t>
        </is>
      </c>
    </row>
    <row r="30">
      <c r="A30" s="6" t="str"/>
      <c r="B30" s="6" t="str"/>
      <c r="C30" s="6" t="str"/>
      <c r="D30" s="6" t="inlineStr">
        <is>
          <t>STORAGE FEE</t>
        </is>
      </c>
      <c r="E30" s="39" t="n">
        <v>7249.63</v>
      </c>
      <c r="F30" s="6" t="inlineStr">
        <is>
          <t>debit</t>
        </is>
      </c>
      <c r="G30" s="6" t="inlineStr">
        <is>
          <t>balance_sheet</t>
        </is>
      </c>
    </row>
    <row r="31">
      <c r="A31" s="34" t="str"/>
      <c r="B31" s="38" t="inlineStr">
        <is>
          <t>D2C Fees</t>
        </is>
      </c>
      <c r="C31" s="34" t="str"/>
      <c r="D31" s="34" t="str"/>
      <c r="E31" s="35" t="n">
        <v>44803.84</v>
      </c>
      <c r="F31" s="34" t="inlineStr">
        <is>
          <t>5 txns</t>
        </is>
      </c>
      <c r="G31" s="34" t="inlineStr">
        <is>
          <t>balance_sheet</t>
        </is>
      </c>
    </row>
    <row r="32">
      <c r="A32" s="6" t="str"/>
      <c r="B32" s="6" t="str"/>
      <c r="C32" s="6" t="str"/>
      <c r="D32" s="6" t="inlineStr">
        <is>
          <t>COURIER &amp; POSTAGE EXPENSE</t>
        </is>
      </c>
      <c r="E32" s="39" t="n">
        <v>21143</v>
      </c>
      <c r="F32" s="6" t="inlineStr">
        <is>
          <t>debit</t>
        </is>
      </c>
      <c r="G32" s="6" t="inlineStr">
        <is>
          <t>balance_sheet</t>
        </is>
      </c>
    </row>
    <row r="33">
      <c r="A33" s="6" t="str"/>
      <c r="B33" s="6" t="str"/>
      <c r="C33" s="6" t="str"/>
      <c r="D33" s="6" t="inlineStr">
        <is>
          <t>FREIGHT CHARGE@%</t>
        </is>
      </c>
      <c r="E33" s="39" t="n">
        <v>6173</v>
      </c>
      <c r="F33" s="6" t="inlineStr">
        <is>
          <t>debit</t>
        </is>
      </c>
      <c r="G33" s="6" t="inlineStr">
        <is>
          <t>balance_sheet</t>
        </is>
      </c>
    </row>
    <row r="34">
      <c r="A34" s="6" t="str"/>
      <c r="B34" s="6" t="str"/>
      <c r="C34" s="6" t="str"/>
      <c r="D34" s="6" t="inlineStr">
        <is>
          <t>LOADING &amp; UNLOADING EXP.</t>
        </is>
      </c>
      <c r="E34" s="39" t="n">
        <v>517</v>
      </c>
      <c r="F34" s="6" t="inlineStr">
        <is>
          <t>debit</t>
        </is>
      </c>
      <c r="G34" s="6" t="inlineStr">
        <is>
          <t>balance_sheet</t>
        </is>
      </c>
    </row>
    <row r="35">
      <c r="A35" s="6" t="str"/>
      <c r="B35" s="6" t="str"/>
      <c r="C35" s="6" t="str"/>
      <c r="D35" s="6" t="inlineStr">
        <is>
          <t>LOGISTICS EXP.</t>
        </is>
      </c>
      <c r="E35" s="39" t="n">
        <v>21.84</v>
      </c>
      <c r="F35" s="6" t="inlineStr">
        <is>
          <t>debit</t>
        </is>
      </c>
      <c r="G35" s="6" t="inlineStr">
        <is>
          <t>balance_sheet</t>
        </is>
      </c>
    </row>
    <row r="36">
      <c r="A36" s="6" t="str"/>
      <c r="B36" s="6" t="str"/>
      <c r="C36" s="6" t="str"/>
      <c r="D36" s="6" t="inlineStr">
        <is>
          <t>PORTER DAILY EXP.</t>
        </is>
      </c>
      <c r="E36" s="39" t="n">
        <v>16949</v>
      </c>
      <c r="F36" s="6" t="inlineStr">
        <is>
          <t>debit</t>
        </is>
      </c>
      <c r="G36" s="6" t="inlineStr">
        <is>
          <t>balance_sheet</t>
        </is>
      </c>
    </row>
    <row r="38">
      <c r="A38" s="24" t="inlineStr">
        <is>
          <t>G. Sales &amp; Marketing</t>
        </is>
      </c>
      <c r="B38" s="24" t="str"/>
      <c r="C38" s="24" t="str"/>
      <c r="D38" s="24" t="str"/>
      <c r="E38" s="37" t="n">
        <v>400593.27</v>
      </c>
      <c r="F38" s="24" t="inlineStr">
        <is>
          <t>5 txns</t>
        </is>
      </c>
      <c r="G38" s="24" t="str"/>
    </row>
    <row r="39">
      <c r="A39" s="34" t="str"/>
      <c r="B39" s="38" t="inlineStr">
        <is>
          <t>Advertising &amp; Marketing</t>
        </is>
      </c>
      <c r="C39" s="34" t="str"/>
      <c r="D39" s="34" t="str"/>
      <c r="E39" s="35" t="n">
        <v>400593.27</v>
      </c>
      <c r="F39" s="34" t="inlineStr">
        <is>
          <t>5 txns</t>
        </is>
      </c>
      <c r="G39" s="34" t="inlineStr">
        <is>
          <t>balance_sheet</t>
        </is>
      </c>
    </row>
    <row r="40">
      <c r="A40" s="6" t="str"/>
      <c r="B40" s="6" t="str"/>
      <c r="C40" s="6" t="str"/>
      <c r="D40" s="6" t="inlineStr">
        <is>
          <t>Advertisement &amp; Publicity</t>
        </is>
      </c>
      <c r="E40" s="39" t="n">
        <v>371825.27</v>
      </c>
      <c r="F40" s="6" t="inlineStr">
        <is>
          <t>debit</t>
        </is>
      </c>
      <c r="G40" s="6" t="inlineStr">
        <is>
          <t>balance_sheet</t>
        </is>
      </c>
    </row>
    <row r="41">
      <c r="A41" s="6" t="str"/>
      <c r="B41" s="6" t="str"/>
      <c r="C41" s="6" t="str"/>
      <c r="D41" s="6" t="inlineStr">
        <is>
          <t>BUSINESS PROMOTION EXPENSES</t>
        </is>
      </c>
      <c r="E41" s="39" t="n">
        <v>13000</v>
      </c>
      <c r="F41" s="6" t="inlineStr">
        <is>
          <t>debit</t>
        </is>
      </c>
      <c r="G41" s="6" t="inlineStr">
        <is>
          <t>balance_sheet</t>
        </is>
      </c>
    </row>
    <row r="42">
      <c r="A42" s="6" t="str"/>
      <c r="B42" s="6" t="str"/>
      <c r="C42" s="6" t="str"/>
      <c r="D42" s="6" t="inlineStr">
        <is>
          <t>DESIGN EXPENSES</t>
        </is>
      </c>
      <c r="E42" s="39" t="n">
        <v>5500</v>
      </c>
      <c r="F42" s="6" t="inlineStr">
        <is>
          <t>debit</t>
        </is>
      </c>
      <c r="G42" s="6" t="inlineStr">
        <is>
          <t>balance_sheet</t>
        </is>
      </c>
    </row>
    <row r="43">
      <c r="A43" s="6" t="str"/>
      <c r="B43" s="6" t="str"/>
      <c r="C43" s="6" t="str"/>
      <c r="D43" s="6" t="inlineStr">
        <is>
          <t>MARKETING CHARGES</t>
        </is>
      </c>
      <c r="E43" s="39" t="n">
        <v>37.65</v>
      </c>
      <c r="F43" s="6" t="inlineStr">
        <is>
          <t>debit</t>
        </is>
      </c>
      <c r="G43" s="6" t="inlineStr">
        <is>
          <t>balance_sheet</t>
        </is>
      </c>
    </row>
    <row r="44">
      <c r="A44" s="6" t="str"/>
      <c r="B44" s="6" t="str"/>
      <c r="C44" s="6" t="str"/>
      <c r="D44" s="6" t="inlineStr">
        <is>
          <t>Advertisement &amp; Publicity</t>
        </is>
      </c>
      <c r="E44" s="39" t="n">
        <v>10230.35</v>
      </c>
      <c r="F44" s="6" t="inlineStr">
        <is>
          <t>debit</t>
        </is>
      </c>
      <c r="G44" s="6" t="inlineStr">
        <is>
          <t>balance_sheet</t>
        </is>
      </c>
    </row>
    <row r="46">
      <c r="A46" s="24" t="inlineStr">
        <is>
          <t>H. Platform Costs</t>
        </is>
      </c>
      <c r="B46" s="24" t="str"/>
      <c r="C46" s="24" t="str"/>
      <c r="D46" s="24" t="str"/>
      <c r="E46" s="37" t="n">
        <v>5699.7</v>
      </c>
      <c r="F46" s="24" t="inlineStr">
        <is>
          <t>2 txns</t>
        </is>
      </c>
      <c r="G46" s="24" t="str"/>
    </row>
    <row r="47">
      <c r="A47" s="34" t="str"/>
      <c r="B47" s="38" t="inlineStr">
        <is>
          <t>Shopify Subscription</t>
        </is>
      </c>
      <c r="C47" s="34" t="str"/>
      <c r="D47" s="34" t="str"/>
      <c r="E47" s="35" t="n">
        <v>749.7</v>
      </c>
      <c r="F47" s="34" t="inlineStr">
        <is>
          <t>1 txns</t>
        </is>
      </c>
      <c r="G47" s="34" t="inlineStr">
        <is>
          <t>balance_sheet</t>
        </is>
      </c>
    </row>
    <row r="48">
      <c r="A48" s="6" t="str"/>
      <c r="B48" s="6" t="str"/>
      <c r="C48" s="6" t="str"/>
      <c r="D48" s="6" t="inlineStr">
        <is>
          <t>PLATFORM FEE</t>
        </is>
      </c>
      <c r="E48" s="39" t="n">
        <v>749.7</v>
      </c>
      <c r="F48" s="6" t="inlineStr">
        <is>
          <t>debit</t>
        </is>
      </c>
      <c r="G48" s="6" t="inlineStr">
        <is>
          <t>balance_sheet</t>
        </is>
      </c>
    </row>
    <row r="49">
      <c r="A49" s="34" t="str"/>
      <c r="B49" s="38" t="inlineStr">
        <is>
          <t>Wati Subscription</t>
        </is>
      </c>
      <c r="C49" s="34" t="str"/>
      <c r="D49" s="34" t="str"/>
      <c r="E49" s="35" t="n">
        <v>4950</v>
      </c>
      <c r="F49" s="34" t="inlineStr">
        <is>
          <t>1 txns</t>
        </is>
      </c>
      <c r="G49" s="34" t="inlineStr">
        <is>
          <t>balance_sheet</t>
        </is>
      </c>
    </row>
    <row r="50">
      <c r="A50" s="6" t="str"/>
      <c r="B50" s="6" t="str"/>
      <c r="C50" s="6" t="str"/>
      <c r="D50" s="6" t="inlineStr">
        <is>
          <t>SOFTWARE UPDATION EXP.</t>
        </is>
      </c>
      <c r="E50" s="39" t="n">
        <v>4950</v>
      </c>
      <c r="F50" s="6" t="inlineStr">
        <is>
          <t>debit</t>
        </is>
      </c>
      <c r="G50" s="6" t="inlineStr">
        <is>
          <t>balance_sheet</t>
        </is>
      </c>
    </row>
    <row r="52">
      <c r="A52" s="24" t="inlineStr">
        <is>
          <t>I. Operating Expenses</t>
        </is>
      </c>
      <c r="B52" s="24" t="str"/>
      <c r="C52" s="24" t="str"/>
      <c r="D52" s="24" t="str"/>
      <c r="E52" s="37" t="n">
        <v>622381.5</v>
      </c>
      <c r="F52" s="24" t="inlineStr">
        <is>
          <t>23 txns</t>
        </is>
      </c>
      <c r="G52" s="24" t="str"/>
    </row>
    <row r="53">
      <c r="A53" s="34" t="str"/>
      <c r="B53" s="38" t="inlineStr">
        <is>
          <t>Legal &amp; CA expenses</t>
        </is>
      </c>
      <c r="C53" s="34" t="str"/>
      <c r="D53" s="34" t="str"/>
      <c r="E53" s="35" t="n">
        <v>65750</v>
      </c>
      <c r="F53" s="34" t="inlineStr">
        <is>
          <t>3 txns</t>
        </is>
      </c>
      <c r="G53" s="34" t="inlineStr">
        <is>
          <t>balance_sheet</t>
        </is>
      </c>
    </row>
    <row r="54">
      <c r="A54" s="6" t="str"/>
      <c r="B54" s="6" t="str"/>
      <c r="C54" s="6" t="str"/>
      <c r="D54" s="6" t="inlineStr">
        <is>
          <t>ACCOUNTING &amp; RETURN FILLING</t>
        </is>
      </c>
      <c r="E54" s="39" t="n">
        <v>4000</v>
      </c>
      <c r="F54" s="6" t="inlineStr">
        <is>
          <t>debit</t>
        </is>
      </c>
      <c r="G54" s="6" t="inlineStr">
        <is>
          <t>balance_sheet</t>
        </is>
      </c>
    </row>
    <row r="55">
      <c r="A55" s="6" t="str"/>
      <c r="B55" s="6" t="str"/>
      <c r="C55" s="6" t="str"/>
      <c r="D55" s="6" t="inlineStr">
        <is>
          <t>CONSULTANCY CHARGES</t>
        </is>
      </c>
      <c r="E55" s="39" t="n">
        <v>5500</v>
      </c>
      <c r="F55" s="6" t="inlineStr">
        <is>
          <t>debit</t>
        </is>
      </c>
      <c r="G55" s="6" t="inlineStr">
        <is>
          <t>balance_sheet</t>
        </is>
      </c>
    </row>
    <row r="56">
      <c r="A56" s="6" t="str"/>
      <c r="B56" s="6" t="str"/>
      <c r="C56" s="6" t="str"/>
      <c r="D56" s="6" t="inlineStr">
        <is>
          <t>LEGAL &amp; PROFESSIONAL EXPENS</t>
        </is>
      </c>
      <c r="E56" s="39" t="n">
        <v>56250</v>
      </c>
      <c r="F56" s="6" t="inlineStr">
        <is>
          <t>debit</t>
        </is>
      </c>
      <c r="G56" s="6" t="inlineStr">
        <is>
          <t>balance_sheet</t>
        </is>
      </c>
    </row>
    <row r="57">
      <c r="A57" s="34" t="str"/>
      <c r="B57" s="38" t="inlineStr">
        <is>
          <t>Other Operating Expenses</t>
        </is>
      </c>
      <c r="C57" s="34" t="str"/>
      <c r="D57" s="34" t="str"/>
      <c r="E57" s="35" t="n">
        <v>16689.87</v>
      </c>
      <c r="F57" s="34" t="inlineStr">
        <is>
          <t>6 txns</t>
        </is>
      </c>
      <c r="G57" s="34" t="inlineStr">
        <is>
          <t>balance_sheet</t>
        </is>
      </c>
    </row>
    <row r="58">
      <c r="A58" s="6" t="str"/>
      <c r="B58" s="6" t="str"/>
      <c r="C58" s="6" t="str"/>
      <c r="D58" s="6" t="inlineStr">
        <is>
          <t>AVANISH KUMAR (EXP. A/C)</t>
        </is>
      </c>
      <c r="E58" s="39" t="n">
        <v>3051</v>
      </c>
      <c r="F58" s="6" t="inlineStr">
        <is>
          <t>debit</t>
        </is>
      </c>
      <c r="G58" s="6" t="inlineStr">
        <is>
          <t>balance_sheet</t>
        </is>
      </c>
    </row>
    <row r="59">
      <c r="A59" s="6" t="str"/>
      <c r="B59" s="6" t="str"/>
      <c r="C59" s="6" t="str"/>
      <c r="D59" s="6" t="inlineStr">
        <is>
          <t>Rounded Off</t>
        </is>
      </c>
      <c r="E59" s="39" t="n">
        <v>1.72</v>
      </c>
      <c r="F59" s="6" t="inlineStr">
        <is>
          <t>debit</t>
        </is>
      </c>
      <c r="G59" s="6" t="inlineStr">
        <is>
          <t>balance_sheet</t>
        </is>
      </c>
    </row>
    <row r="60">
      <c r="A60" s="6" t="str"/>
      <c r="B60" s="6" t="str"/>
      <c r="C60" s="6" t="str"/>
      <c r="D60" s="6" t="inlineStr">
        <is>
          <t>WEBSITE &amp; DEVLOPMENT EXP.</t>
        </is>
      </c>
      <c r="E60" s="39" t="n">
        <v>13336</v>
      </c>
      <c r="F60" s="6" t="inlineStr">
        <is>
          <t>debit</t>
        </is>
      </c>
      <c r="G60" s="6" t="inlineStr">
        <is>
          <t>balance_sheet</t>
        </is>
      </c>
    </row>
    <row r="61">
      <c r="A61" s="6" t="str"/>
      <c r="B61" s="6" t="str"/>
      <c r="C61" s="6" t="str"/>
      <c r="D61" s="6" t="inlineStr">
        <is>
          <t>RETURN FEE</t>
        </is>
      </c>
      <c r="E61" s="39" t="n">
        <v>300</v>
      </c>
      <c r="F61" s="6" t="inlineStr">
        <is>
          <t>debit</t>
        </is>
      </c>
      <c r="G61" s="6" t="inlineStr">
        <is>
          <t>balance_sheet</t>
        </is>
      </c>
    </row>
    <row r="62">
      <c r="A62" s="6" t="str"/>
      <c r="B62" s="6" t="str"/>
      <c r="C62" s="6" t="str"/>
      <c r="D62" s="6" t="inlineStr">
        <is>
          <t>Rounded Off</t>
        </is>
      </c>
      <c r="E62" s="39" t="n">
        <v>2.36</v>
      </c>
      <c r="F62" s="6" t="inlineStr">
        <is>
          <t>debit</t>
        </is>
      </c>
      <c r="G62" s="6" t="inlineStr">
        <is>
          <t>balance_sheet</t>
        </is>
      </c>
    </row>
    <row r="63">
      <c r="A63" s="6" t="str"/>
      <c r="B63" s="6" t="str"/>
      <c r="C63" s="6" t="str"/>
      <c r="D63" s="6" t="inlineStr">
        <is>
          <t>Rounded Off</t>
        </is>
      </c>
      <c r="E63" s="39" t="n">
        <v>-1.21</v>
      </c>
      <c r="F63" s="6" t="inlineStr">
        <is>
          <t>debit</t>
        </is>
      </c>
      <c r="G63" s="6" t="inlineStr">
        <is>
          <t>balance_sheet</t>
        </is>
      </c>
    </row>
    <row r="64">
      <c r="A64" s="34" t="str"/>
      <c r="B64" s="38" t="inlineStr">
        <is>
          <t>Banks &amp; Finance Charges</t>
        </is>
      </c>
      <c r="C64" s="34" t="str"/>
      <c r="D64" s="34" t="str"/>
      <c r="E64" s="35" t="n">
        <v>6556.62</v>
      </c>
      <c r="F64" s="34" t="inlineStr">
        <is>
          <t>2 txns</t>
        </is>
      </c>
      <c r="G64" s="34" t="inlineStr">
        <is>
          <t>balance_sheet</t>
        </is>
      </c>
    </row>
    <row r="65">
      <c r="A65" s="6" t="str"/>
      <c r="B65" s="6" t="str"/>
      <c r="C65" s="6" t="str"/>
      <c r="D65" s="6" t="inlineStr">
        <is>
          <t>BANK CHARGE EXPENCE</t>
        </is>
      </c>
      <c r="E65" s="39" t="n">
        <v>11.8</v>
      </c>
      <c r="F65" s="6" t="inlineStr">
        <is>
          <t>debit</t>
        </is>
      </c>
      <c r="G65" s="6" t="inlineStr">
        <is>
          <t>balance_sheet</t>
        </is>
      </c>
    </row>
    <row r="66">
      <c r="A66" s="6" t="str"/>
      <c r="B66" s="6" t="str"/>
      <c r="C66" s="6" t="str"/>
      <c r="D66" s="6" t="inlineStr">
        <is>
          <t>PROCESSING FEE</t>
        </is>
      </c>
      <c r="E66" s="39" t="n">
        <v>6544.82</v>
      </c>
      <c r="F66" s="6" t="inlineStr">
        <is>
          <t>debit</t>
        </is>
      </c>
      <c r="G66" s="6" t="inlineStr">
        <is>
          <t>balance_sheet</t>
        </is>
      </c>
    </row>
    <row r="67">
      <c r="A67" s="34" t="str"/>
      <c r="B67" s="38" t="inlineStr">
        <is>
          <t>Salaries (Admin Mgmt)</t>
        </is>
      </c>
      <c r="C67" s="34" t="str"/>
      <c r="D67" s="34" t="str"/>
      <c r="E67" s="35" t="n">
        <v>314803</v>
      </c>
      <c r="F67" s="34" t="inlineStr">
        <is>
          <t>2 txns</t>
        </is>
      </c>
      <c r="G67" s="34" t="inlineStr">
        <is>
          <t>balance_sheet</t>
        </is>
      </c>
    </row>
    <row r="68">
      <c r="A68" s="6" t="str"/>
      <c r="B68" s="6" t="str"/>
      <c r="C68" s="6" t="str"/>
      <c r="D68" s="6" t="inlineStr">
        <is>
          <t>ESI EMPLOYER CONTRIBUTTION E</t>
        </is>
      </c>
      <c r="E68" s="39" t="n">
        <v>2610</v>
      </c>
      <c r="F68" s="6" t="inlineStr">
        <is>
          <t>debit</t>
        </is>
      </c>
      <c r="G68" s="6" t="inlineStr">
        <is>
          <t>balance_sheet</t>
        </is>
      </c>
    </row>
    <row r="69">
      <c r="A69" s="6" t="str"/>
      <c r="B69" s="6" t="str"/>
      <c r="C69" s="6" t="str"/>
      <c r="D69" s="6" t="inlineStr">
        <is>
          <t>Salary Expenses</t>
        </is>
      </c>
      <c r="E69" s="39" t="n">
        <v>312193</v>
      </c>
      <c r="F69" s="6" t="inlineStr">
        <is>
          <t>debit</t>
        </is>
      </c>
      <c r="G69" s="6" t="inlineStr">
        <is>
          <t>balance_sheet</t>
        </is>
      </c>
    </row>
    <row r="70">
      <c r="A70" s="34" t="str"/>
      <c r="B70" s="38" t="inlineStr">
        <is>
          <t>Miscellaneous (Travel, insurance)</t>
        </is>
      </c>
      <c r="C70" s="34" t="str"/>
      <c r="D70" s="34" t="str"/>
      <c r="E70" s="35" t="n">
        <v>45695</v>
      </c>
      <c r="F70" s="34" t="inlineStr">
        <is>
          <t>2 txns</t>
        </is>
      </c>
      <c r="G70" s="34" t="inlineStr">
        <is>
          <t>balance_sheet</t>
        </is>
      </c>
    </row>
    <row r="71">
      <c r="A71" s="6" t="str"/>
      <c r="B71" s="6" t="str"/>
      <c r="C71" s="6" t="str"/>
      <c r="D71" s="6" t="inlineStr">
        <is>
          <t>INSURANCE EXPENSES@%</t>
        </is>
      </c>
      <c r="E71" s="39" t="n">
        <v>34005</v>
      </c>
      <c r="F71" s="6" t="inlineStr">
        <is>
          <t>debit</t>
        </is>
      </c>
      <c r="G71" s="6" t="inlineStr">
        <is>
          <t>balance_sheet</t>
        </is>
      </c>
    </row>
    <row r="72">
      <c r="A72" s="6" t="str"/>
      <c r="B72" s="6" t="str"/>
      <c r="C72" s="6" t="str"/>
      <c r="D72" s="6" t="inlineStr">
        <is>
          <t>Travelling Expenses</t>
        </is>
      </c>
      <c r="E72" s="39" t="n">
        <v>11690</v>
      </c>
      <c r="F72" s="6" t="inlineStr">
        <is>
          <t>debit</t>
        </is>
      </c>
      <c r="G72" s="6" t="inlineStr">
        <is>
          <t>balance_sheet</t>
        </is>
      </c>
    </row>
    <row r="73">
      <c r="A73" s="34" t="str"/>
      <c r="B73" s="38" t="inlineStr">
        <is>
          <t>Administrative Expenses</t>
        </is>
      </c>
      <c r="C73" s="34" t="str"/>
      <c r="D73" s="34" t="str"/>
      <c r="E73" s="35" t="n">
        <v>170089.01</v>
      </c>
      <c r="F73" s="34" t="inlineStr">
        <is>
          <t>7 txns</t>
        </is>
      </c>
      <c r="G73" s="34" t="inlineStr">
        <is>
          <t>balance_sheet</t>
        </is>
      </c>
    </row>
    <row r="74">
      <c r="A74" s="6" t="str"/>
      <c r="B74" s="6" t="str"/>
      <c r="C74" s="6" t="str"/>
      <c r="D74" s="6" t="inlineStr">
        <is>
          <t>OFFICE EXPENSES</t>
        </is>
      </c>
      <c r="E74" s="39" t="n">
        <v>1560</v>
      </c>
      <c r="F74" s="6" t="inlineStr">
        <is>
          <t>debit</t>
        </is>
      </c>
      <c r="G74" s="6" t="inlineStr">
        <is>
          <t>balance_sheet</t>
        </is>
      </c>
    </row>
    <row r="75">
      <c r="A75" s="6" t="str"/>
      <c r="B75" s="6" t="str"/>
      <c r="C75" s="6" t="str"/>
      <c r="D75" s="6" t="inlineStr">
        <is>
          <t>OFFICE EXPENSES @ %</t>
        </is>
      </c>
      <c r="E75" s="39" t="n">
        <v>360</v>
      </c>
      <c r="F75" s="6" t="inlineStr">
        <is>
          <t>debit</t>
        </is>
      </c>
      <c r="G75" s="6" t="inlineStr">
        <is>
          <t>balance_sheet</t>
        </is>
      </c>
    </row>
    <row r="76">
      <c r="A76" s="6" t="str"/>
      <c r="B76" s="6" t="str"/>
      <c r="C76" s="6" t="str"/>
      <c r="D76" s="6" t="inlineStr">
        <is>
          <t>Office Rent</t>
        </is>
      </c>
      <c r="E76" s="39" t="n">
        <v>144453.13</v>
      </c>
      <c r="F76" s="6" t="inlineStr">
        <is>
          <t>debit</t>
        </is>
      </c>
      <c r="G76" s="6" t="inlineStr">
        <is>
          <t>balance_sheet</t>
        </is>
      </c>
    </row>
    <row r="77">
      <c r="A77" s="6" t="str"/>
      <c r="B77" s="6" t="str"/>
      <c r="C77" s="6" t="str"/>
      <c r="D77" s="6" t="inlineStr">
        <is>
          <t>Printing &amp; Stationery@%</t>
        </is>
      </c>
      <c r="E77" s="39" t="n">
        <v>470</v>
      </c>
      <c r="F77" s="6" t="inlineStr">
        <is>
          <t>debit</t>
        </is>
      </c>
      <c r="G77" s="6" t="inlineStr">
        <is>
          <t>balance_sheet</t>
        </is>
      </c>
    </row>
    <row r="78">
      <c r="A78" s="6" t="str"/>
      <c r="B78" s="6" t="str"/>
      <c r="C78" s="6" t="str"/>
      <c r="D78" s="6" t="inlineStr">
        <is>
          <t>Printing &amp; Stationery@%</t>
        </is>
      </c>
      <c r="E78" s="39" t="n">
        <v>3740</v>
      </c>
      <c r="F78" s="6" t="inlineStr">
        <is>
          <t>debit</t>
        </is>
      </c>
      <c r="G78" s="6" t="inlineStr">
        <is>
          <t>balance_sheet</t>
        </is>
      </c>
    </row>
    <row r="79">
      <c r="A79" s="6" t="str"/>
      <c r="B79" s="6" t="str"/>
      <c r="C79" s="6" t="str"/>
      <c r="D79" s="6" t="inlineStr">
        <is>
          <t>REPAIRE &amp; MAINTENANCE EXPENS</t>
        </is>
      </c>
      <c r="E79" s="39" t="n">
        <v>5200</v>
      </c>
      <c r="F79" s="6" t="inlineStr">
        <is>
          <t>debit</t>
        </is>
      </c>
      <c r="G79" s="6" t="inlineStr">
        <is>
          <t>balance_sheet</t>
        </is>
      </c>
    </row>
    <row r="80">
      <c r="A80" s="6" t="str"/>
      <c r="B80" s="6" t="str"/>
      <c r="C80" s="6" t="str"/>
      <c r="D80" s="6" t="inlineStr">
        <is>
          <t>VEHICAL RUNING MAINTENANCE</t>
        </is>
      </c>
      <c r="E80" s="39" t="n">
        <v>14305.88</v>
      </c>
      <c r="F80" s="6" t="inlineStr">
        <is>
          <t>debit</t>
        </is>
      </c>
      <c r="G80" s="6" t="inlineStr">
        <is>
          <t>balance_sheet</t>
        </is>
      </c>
    </row>
    <row r="81">
      <c r="A81" s="34" t="str"/>
      <c r="B81" s="38" t="inlineStr">
        <is>
          <t>Staff Welfare &amp; Events</t>
        </is>
      </c>
      <c r="C81" s="34" t="str"/>
      <c r="D81" s="34" t="str"/>
      <c r="E81" s="35" t="n">
        <v>2798</v>
      </c>
      <c r="F81" s="34" t="inlineStr">
        <is>
          <t>1 txns</t>
        </is>
      </c>
      <c r="G81" s="34" t="inlineStr">
        <is>
          <t>balance_sheet</t>
        </is>
      </c>
    </row>
    <row r="82">
      <c r="A82" s="6" t="str"/>
      <c r="B82" s="6" t="str"/>
      <c r="C82" s="6" t="str"/>
      <c r="D82" s="6" t="inlineStr">
        <is>
          <t>STAFF WELFARE EXPENSES</t>
        </is>
      </c>
      <c r="E82" s="39" t="n">
        <v>2798</v>
      </c>
      <c r="F82" s="6" t="inlineStr">
        <is>
          <t>debit</t>
        </is>
      </c>
      <c r="G82" s="6" t="inlineStr">
        <is>
          <t>balance_sheet</t>
        </is>
      </c>
    </row>
    <row r="84">
      <c r="A84" s="24" t="inlineStr">
        <is>
          <t>J. Non-Operating</t>
        </is>
      </c>
      <c r="B84" s="24" t="str"/>
      <c r="C84" s="24" t="str"/>
      <c r="D84" s="24" t="str"/>
      <c r="E84" s="37" t="n">
        <v>58328</v>
      </c>
      <c r="F84" s="24" t="inlineStr">
        <is>
          <t>1 txns</t>
        </is>
      </c>
      <c r="G84" s="24" t="str"/>
    </row>
    <row r="85">
      <c r="A85" s="34" t="str"/>
      <c r="B85" s="38" t="inlineStr">
        <is>
          <t>Less: Interest Expense</t>
        </is>
      </c>
      <c r="C85" s="34" t="str"/>
      <c r="D85" s="34" t="str"/>
      <c r="E85" s="35" t="n">
        <v>58328</v>
      </c>
      <c r="F85" s="34" t="inlineStr">
        <is>
          <t>1 txns</t>
        </is>
      </c>
      <c r="G85" s="34" t="inlineStr">
        <is>
          <t>balance_sheet</t>
        </is>
      </c>
    </row>
    <row r="86">
      <c r="A86" s="6" t="str"/>
      <c r="B86" s="6" t="str"/>
      <c r="C86" s="6" t="str"/>
      <c r="D86" s="6" t="inlineStr">
        <is>
          <t>INTEREST ON OD LIMIT</t>
        </is>
      </c>
      <c r="E86" s="39" t="n">
        <v>58328</v>
      </c>
      <c r="F86" s="6" t="inlineStr">
        <is>
          <t>debit</t>
        </is>
      </c>
      <c r="G86" s="6" t="inlineStr">
        <is>
          <t>balance_sheet</t>
        </is>
      </c>
    </row>
  </sheetData>
  <mergeCells count="1">
    <mergeCell ref="A1:G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cols>
    <col width="25.83203125" customWidth="1" style="2" min="1" max="1"/>
    <col width="30.83203125" customWidth="1" style="2" min="2" max="2"/>
    <col width="12.83203125" customWidth="1" style="2" min="3" max="3"/>
    <col width="45.83203125" customWidth="1" style="2" min="4" max="4"/>
    <col width="15.83203125" customWidth="1" style="2" min="5" max="5"/>
    <col width="10.83203125" customWidth="1" style="2" min="6" max="6"/>
    <col width="15.83203125" customWidth="1" style="2" min="7" max="7"/>
  </cols>
  <sheetData>
    <row r="1">
      <c r="A1" s="40" t="inlineStr">
        <is>
          <t>Apr 2025 - TRANSACTION DETAILS</t>
        </is>
      </c>
    </row>
    <row r="3">
      <c r="A3" s="5" t="inlineStr">
        <is>
          <t>Head</t>
        </is>
      </c>
      <c r="B3" s="5" t="inlineStr">
        <is>
          <t>Subhead</t>
        </is>
      </c>
      <c r="C3" s="5" t="inlineStr">
        <is>
          <t>Date</t>
        </is>
      </c>
      <c r="D3" s="5" t="inlineStr">
        <is>
          <t>Account</t>
        </is>
      </c>
      <c r="E3" s="5" t="inlineStr">
        <is>
          <t>Amount (₹)</t>
        </is>
      </c>
      <c r="F3" s="5" t="inlineStr">
        <is>
          <t>Type</t>
        </is>
      </c>
      <c r="G3" s="5" t="inlineStr">
        <is>
          <t>Source</t>
        </is>
      </c>
    </row>
    <row r="4">
      <c r="A4" s="24" t="inlineStr">
        <is>
          <t>E. COGM</t>
        </is>
      </c>
      <c r="B4" s="24" t="str"/>
      <c r="C4" s="24" t="str"/>
      <c r="D4" s="24" t="str"/>
      <c r="E4" s="37" t="n">
        <v>87322.5</v>
      </c>
      <c r="F4" s="24" t="inlineStr">
        <is>
          <t>5 txns</t>
        </is>
      </c>
      <c r="G4" s="24" t="str"/>
    </row>
    <row r="5">
      <c r="A5" s="34" t="str"/>
      <c r="B5" s="38" t="inlineStr">
        <is>
          <t>Raw Materials &amp; Inventory</t>
        </is>
      </c>
      <c r="C5" s="34" t="str"/>
      <c r="D5" s="34" t="str"/>
      <c r="E5" s="35" t="n">
        <v>684014.6800000001</v>
      </c>
      <c r="F5" s="34" t="inlineStr">
        <is>
          <t>1 txns</t>
        </is>
      </c>
      <c r="G5" s="34" t="inlineStr">
        <is>
          <t>calculated</t>
        </is>
      </c>
    </row>
    <row r="6">
      <c r="A6" s="6" t="str"/>
      <c r="B6" s="6" t="str"/>
      <c r="C6" s="6" t="str"/>
      <c r="D6" s="6" t="inlineStr">
        <is>
          <t>Raw Materials (Prorated by Revenue)</t>
        </is>
      </c>
      <c r="E6" s="39" t="n">
        <v>684014.6800000001</v>
      </c>
      <c r="F6" s="6" t="inlineStr">
        <is>
          <t>debit</t>
        </is>
      </c>
      <c r="G6" s="6" t="inlineStr">
        <is>
          <t>calculated</t>
        </is>
      </c>
    </row>
    <row r="7">
      <c r="A7" s="34" t="str"/>
      <c r="B7" s="38" t="inlineStr">
        <is>
          <t>Factory Maintenance</t>
        </is>
      </c>
      <c r="C7" s="34" t="str"/>
      <c r="D7" s="34" t="str"/>
      <c r="E7" s="35" t="n">
        <v>26192</v>
      </c>
      <c r="F7" s="34" t="inlineStr">
        <is>
          <t>2 txns</t>
        </is>
      </c>
      <c r="G7" s="34" t="inlineStr">
        <is>
          <t>balance_sheet</t>
        </is>
      </c>
    </row>
    <row r="8">
      <c r="A8" s="6" t="str"/>
      <c r="B8" s="6" t="str"/>
      <c r="C8" s="6" t="str"/>
      <c r="D8" s="6" t="inlineStr">
        <is>
          <t>Electricity &amp; Water Expenses</t>
        </is>
      </c>
      <c r="E8" s="39" t="n">
        <v>7192</v>
      </c>
      <c r="F8" s="6" t="inlineStr">
        <is>
          <t>debit</t>
        </is>
      </c>
      <c r="G8" s="6" t="inlineStr">
        <is>
          <t>balance_sheet</t>
        </is>
      </c>
    </row>
    <row r="9">
      <c r="A9" s="6" t="str"/>
      <c r="B9" s="6" t="str"/>
      <c r="C9" s="6" t="str"/>
      <c r="D9" s="6" t="inlineStr">
        <is>
          <t>POWER BACKUP &amp; MAITENANCE (D</t>
        </is>
      </c>
      <c r="E9" s="39" t="n">
        <v>19000</v>
      </c>
      <c r="F9" s="6" t="inlineStr">
        <is>
          <t>debit</t>
        </is>
      </c>
      <c r="G9" s="6" t="inlineStr">
        <is>
          <t>balance_sheet</t>
        </is>
      </c>
    </row>
    <row r="10">
      <c r="A10" s="34" t="str"/>
      <c r="B10" s="38" t="inlineStr">
        <is>
          <t>Inbound Transport</t>
        </is>
      </c>
      <c r="C10" s="34" t="str"/>
      <c r="D10" s="34" t="str"/>
      <c r="E10" s="35" t="n">
        <v>4400</v>
      </c>
      <c r="F10" s="34" t="inlineStr">
        <is>
          <t>2 txns</t>
        </is>
      </c>
      <c r="G10" s="34" t="inlineStr">
        <is>
          <t>balance_sheet</t>
        </is>
      </c>
    </row>
    <row r="11">
      <c r="A11" s="6" t="str"/>
      <c r="B11" s="6" t="str"/>
      <c r="C11" s="6" t="str"/>
      <c r="D11" s="6" t="inlineStr">
        <is>
          <t>FREIGHT CHARES @%</t>
        </is>
      </c>
      <c r="E11" s="39" t="n">
        <v>1400</v>
      </c>
      <c r="F11" s="6" t="inlineStr">
        <is>
          <t>debit</t>
        </is>
      </c>
      <c r="G11" s="6" t="inlineStr">
        <is>
          <t>balance_sheet</t>
        </is>
      </c>
    </row>
    <row r="12">
      <c r="A12" s="6" t="str"/>
      <c r="B12" s="6" t="str"/>
      <c r="C12" s="6" t="str"/>
      <c r="D12" s="6" t="inlineStr">
        <is>
          <t>FREIGHT CHARGES@%</t>
        </is>
      </c>
      <c r="E12" s="39" t="n">
        <v>3000</v>
      </c>
      <c r="F12" s="6" t="inlineStr">
        <is>
          <t>debit</t>
        </is>
      </c>
      <c r="G12" s="6" t="inlineStr">
        <is>
          <t>balance_sheet</t>
        </is>
      </c>
    </row>
    <row r="13">
      <c r="A13" s="34" t="str"/>
      <c r="B13" s="38" t="inlineStr">
        <is>
          <t>Job work</t>
        </is>
      </c>
      <c r="C13" s="34" t="str"/>
      <c r="D13" s="34" t="str"/>
      <c r="E13" s="35" t="n">
        <v>56730.5</v>
      </c>
      <c r="F13" s="34" t="inlineStr">
        <is>
          <t>1 txns</t>
        </is>
      </c>
      <c r="G13" s="34" t="inlineStr">
        <is>
          <t>balance_sheet</t>
        </is>
      </c>
    </row>
    <row r="14">
      <c r="A14" s="6" t="str"/>
      <c r="B14" s="6" t="str"/>
      <c r="C14" s="6" t="str"/>
      <c r="D14" s="6" t="inlineStr">
        <is>
          <t>JOB WORK @%</t>
        </is>
      </c>
      <c r="E14" s="39" t="n">
        <v>56730.5</v>
      </c>
      <c r="F14" s="6" t="inlineStr">
        <is>
          <t>debit</t>
        </is>
      </c>
      <c r="G14" s="6" t="inlineStr">
        <is>
          <t>balance_sheet</t>
        </is>
      </c>
    </row>
    <row r="16">
      <c r="A16" s="24" t="inlineStr">
        <is>
          <t>F. Channel &amp; Fulfillment</t>
        </is>
      </c>
      <c r="B16" s="24" t="str"/>
      <c r="C16" s="24" t="str"/>
      <c r="D16" s="24" t="str"/>
      <c r="E16" s="37" t="n">
        <v>436068.37</v>
      </c>
      <c r="F16" s="24" t="inlineStr">
        <is>
          <t>13 txns</t>
        </is>
      </c>
      <c r="G16" s="24" t="str"/>
    </row>
    <row r="17">
      <c r="A17" s="34" t="str"/>
      <c r="B17" s="38" t="inlineStr">
        <is>
          <t>Amazon Fees</t>
        </is>
      </c>
      <c r="C17" s="34" t="str"/>
      <c r="D17" s="34" t="str"/>
      <c r="E17" s="35" t="n">
        <v>380247.99</v>
      </c>
      <c r="F17" s="34" t="inlineStr">
        <is>
          <t>9 txns</t>
        </is>
      </c>
      <c r="G17" s="34" t="inlineStr">
        <is>
          <t>balance_sheet</t>
        </is>
      </c>
    </row>
    <row r="18">
      <c r="A18" s="6" t="str"/>
      <c r="B18" s="6" t="str"/>
      <c r="C18" s="6" t="str"/>
      <c r="D18" s="6" t="inlineStr">
        <is>
          <t>AMAZON LOGISTICS EXP.</t>
        </is>
      </c>
      <c r="E18" s="39" t="n">
        <v>104874.65</v>
      </c>
      <c r="F18" s="6" t="inlineStr">
        <is>
          <t>debit</t>
        </is>
      </c>
      <c r="G18" s="6" t="inlineStr">
        <is>
          <t>balance_sheet</t>
        </is>
      </c>
    </row>
    <row r="19">
      <c r="A19" s="6" t="str"/>
      <c r="B19" s="6" t="str"/>
      <c r="C19" s="6" t="str"/>
      <c r="D19" s="6" t="inlineStr">
        <is>
          <t>AMAZON LOGISTICS EXP.</t>
        </is>
      </c>
      <c r="E19" s="39" t="n">
        <v>93230.74000000001</v>
      </c>
      <c r="F19" s="6" t="inlineStr">
        <is>
          <t>debit</t>
        </is>
      </c>
      <c r="G19" s="6" t="inlineStr">
        <is>
          <t>balance_sheet</t>
        </is>
      </c>
    </row>
    <row r="20">
      <c r="A20" s="6" t="str"/>
      <c r="B20" s="6" t="str"/>
      <c r="C20" s="6" t="str"/>
      <c r="D20" s="6" t="inlineStr">
        <is>
          <t>COMMISSION FEE</t>
        </is>
      </c>
      <c r="E20" s="39" t="n">
        <v>8501</v>
      </c>
      <c r="F20" s="6" t="inlineStr">
        <is>
          <t>debit</t>
        </is>
      </c>
      <c r="G20" s="6" t="inlineStr">
        <is>
          <t>balance_sheet</t>
        </is>
      </c>
    </row>
    <row r="21">
      <c r="A21" s="6" t="str"/>
      <c r="B21" s="6" t="str"/>
      <c r="C21" s="6" t="str"/>
      <c r="D21" s="6" t="inlineStr">
        <is>
          <t>SHIPPING FEE</t>
        </is>
      </c>
      <c r="E21" s="39" t="n">
        <v>10800</v>
      </c>
      <c r="F21" s="6" t="inlineStr">
        <is>
          <t>debit</t>
        </is>
      </c>
      <c r="G21" s="6" t="inlineStr">
        <is>
          <t>balance_sheet</t>
        </is>
      </c>
    </row>
    <row r="22">
      <c r="A22" s="6" t="str"/>
      <c r="B22" s="6" t="str"/>
      <c r="C22" s="6" t="str"/>
      <c r="D22" s="6" t="inlineStr">
        <is>
          <t>STORAGE FEE</t>
        </is>
      </c>
      <c r="E22" s="39" t="n">
        <v>20124.52</v>
      </c>
      <c r="F22" s="6" t="inlineStr">
        <is>
          <t>debit</t>
        </is>
      </c>
      <c r="G22" s="6" t="inlineStr">
        <is>
          <t>balance_sheet</t>
        </is>
      </c>
    </row>
    <row r="23">
      <c r="A23" s="6" t="str"/>
      <c r="B23" s="6" t="str"/>
      <c r="C23" s="6" t="str"/>
      <c r="D23" s="6" t="inlineStr">
        <is>
          <t>AMAZON LOGISCTICS EXP.</t>
        </is>
      </c>
      <c r="E23" s="39" t="n">
        <v>111495.8</v>
      </c>
      <c r="F23" s="6" t="inlineStr">
        <is>
          <t>debit</t>
        </is>
      </c>
      <c r="G23" s="6" t="inlineStr">
        <is>
          <t>balance_sheet</t>
        </is>
      </c>
    </row>
    <row r="24">
      <c r="A24" s="6" t="str"/>
      <c r="B24" s="6" t="str"/>
      <c r="C24" s="6" t="str"/>
      <c r="D24" s="6" t="inlineStr">
        <is>
          <t>COMMISSION FEE</t>
        </is>
      </c>
      <c r="E24" s="39" t="n">
        <v>6393.9</v>
      </c>
      <c r="F24" s="6" t="inlineStr">
        <is>
          <t>debit</t>
        </is>
      </c>
      <c r="G24" s="6" t="inlineStr">
        <is>
          <t>balance_sheet</t>
        </is>
      </c>
    </row>
    <row r="25">
      <c r="A25" s="6" t="str"/>
      <c r="B25" s="6" t="str"/>
      <c r="C25" s="6" t="str"/>
      <c r="D25" s="6" t="inlineStr">
        <is>
          <t>SHIPPING FEE</t>
        </is>
      </c>
      <c r="E25" s="39" t="n">
        <v>6850</v>
      </c>
      <c r="F25" s="6" t="inlineStr">
        <is>
          <t>debit</t>
        </is>
      </c>
      <c r="G25" s="6" t="inlineStr">
        <is>
          <t>balance_sheet</t>
        </is>
      </c>
    </row>
    <row r="26">
      <c r="A26" s="6" t="str"/>
      <c r="B26" s="6" t="str"/>
      <c r="C26" s="6" t="str"/>
      <c r="D26" s="6" t="inlineStr">
        <is>
          <t>STORAGE FEE</t>
        </is>
      </c>
      <c r="E26" s="39" t="n">
        <v>17977.38</v>
      </c>
      <c r="F26" s="6" t="inlineStr">
        <is>
          <t>debit</t>
        </is>
      </c>
      <c r="G26" s="6" t="inlineStr">
        <is>
          <t>balance_sheet</t>
        </is>
      </c>
    </row>
    <row r="27">
      <c r="A27" s="34" t="str"/>
      <c r="B27" s="38" t="inlineStr">
        <is>
          <t>D2C Fees</t>
        </is>
      </c>
      <c r="C27" s="34" t="str"/>
      <c r="D27" s="34" t="str"/>
      <c r="E27" s="35" t="n">
        <v>55820.38</v>
      </c>
      <c r="F27" s="34" t="inlineStr">
        <is>
          <t>4 txns</t>
        </is>
      </c>
      <c r="G27" s="34" t="inlineStr">
        <is>
          <t>balance_sheet</t>
        </is>
      </c>
    </row>
    <row r="28">
      <c r="A28" s="6" t="str"/>
      <c r="B28" s="6" t="str"/>
      <c r="C28" s="6" t="str"/>
      <c r="D28" s="6" t="inlineStr">
        <is>
          <t>COURIER &amp; POSTAGE EXPENSE</t>
        </is>
      </c>
      <c r="E28" s="39" t="n">
        <v>33177</v>
      </c>
      <c r="F28" s="6" t="inlineStr">
        <is>
          <t>debit</t>
        </is>
      </c>
      <c r="G28" s="6" t="inlineStr">
        <is>
          <t>balance_sheet</t>
        </is>
      </c>
    </row>
    <row r="29">
      <c r="A29" s="6" t="str"/>
      <c r="B29" s="6" t="str"/>
      <c r="C29" s="6" t="str"/>
      <c r="D29" s="6" t="inlineStr">
        <is>
          <t>FREIGHT CHARGE@%</t>
        </is>
      </c>
      <c r="E29" s="39" t="n">
        <v>2459</v>
      </c>
      <c r="F29" s="6" t="inlineStr">
        <is>
          <t>debit</t>
        </is>
      </c>
      <c r="G29" s="6" t="inlineStr">
        <is>
          <t>balance_sheet</t>
        </is>
      </c>
    </row>
    <row r="30">
      <c r="A30" s="6" t="str"/>
      <c r="B30" s="6" t="str"/>
      <c r="C30" s="6" t="str"/>
      <c r="D30" s="6" t="inlineStr">
        <is>
          <t>LOGISTICS EXP.</t>
        </is>
      </c>
      <c r="E30" s="39" t="n">
        <v>5363.38</v>
      </c>
      <c r="F30" s="6" t="inlineStr">
        <is>
          <t>debit</t>
        </is>
      </c>
      <c r="G30" s="6" t="inlineStr">
        <is>
          <t>balance_sheet</t>
        </is>
      </c>
    </row>
    <row r="31">
      <c r="A31" s="6" t="str"/>
      <c r="B31" s="6" t="str"/>
      <c r="C31" s="6" t="str"/>
      <c r="D31" s="6" t="inlineStr">
        <is>
          <t>PORTER DAILY EXP.</t>
        </is>
      </c>
      <c r="E31" s="39" t="n">
        <v>14821</v>
      </c>
      <c r="F31" s="6" t="inlineStr">
        <is>
          <t>debit</t>
        </is>
      </c>
      <c r="G31" s="6" t="inlineStr">
        <is>
          <t>balance_sheet</t>
        </is>
      </c>
    </row>
    <row r="33">
      <c r="A33" s="24" t="inlineStr">
        <is>
          <t>G. Sales &amp; Marketing</t>
        </is>
      </c>
      <c r="B33" s="24" t="str"/>
      <c r="C33" s="24" t="str"/>
      <c r="D33" s="24" t="str"/>
      <c r="E33" s="37" t="n">
        <v>308361.75</v>
      </c>
      <c r="F33" s="24" t="inlineStr">
        <is>
          <t>6 txns</t>
        </is>
      </c>
      <c r="G33" s="24" t="str"/>
    </row>
    <row r="34">
      <c r="A34" s="34" t="str"/>
      <c r="B34" s="38" t="inlineStr">
        <is>
          <t>Advertising &amp; Marketing</t>
        </is>
      </c>
      <c r="C34" s="34" t="str"/>
      <c r="D34" s="34" t="str"/>
      <c r="E34" s="35" t="n">
        <v>308361.75</v>
      </c>
      <c r="F34" s="34" t="inlineStr">
        <is>
          <t>6 txns</t>
        </is>
      </c>
      <c r="G34" s="34" t="inlineStr">
        <is>
          <t>balance_sheet</t>
        </is>
      </c>
    </row>
    <row r="35">
      <c r="A35" s="6" t="str"/>
      <c r="B35" s="6" t="str"/>
      <c r="C35" s="6" t="str"/>
      <c r="D35" s="6" t="inlineStr">
        <is>
          <t>Advertisement &amp; Publicity</t>
        </is>
      </c>
      <c r="E35" s="39" t="n">
        <v>281282.89</v>
      </c>
      <c r="F35" s="6" t="inlineStr">
        <is>
          <t>debit</t>
        </is>
      </c>
      <c r="G35" s="6" t="inlineStr">
        <is>
          <t>balance_sheet</t>
        </is>
      </c>
    </row>
    <row r="36">
      <c r="A36" s="6" t="str"/>
      <c r="B36" s="6" t="str"/>
      <c r="C36" s="6" t="str"/>
      <c r="D36" s="6" t="inlineStr">
        <is>
          <t>BUSINESS PROMOTION EXPENSES</t>
        </is>
      </c>
      <c r="E36" s="39" t="n">
        <v>12000</v>
      </c>
      <c r="F36" s="6" t="inlineStr">
        <is>
          <t>debit</t>
        </is>
      </c>
      <c r="G36" s="6" t="inlineStr">
        <is>
          <t>balance_sheet</t>
        </is>
      </c>
    </row>
    <row r="37">
      <c r="A37" s="6" t="str"/>
      <c r="B37" s="6" t="str"/>
      <c r="C37" s="6" t="str"/>
      <c r="D37" s="6" t="inlineStr">
        <is>
          <t>DESIGN EXPENSES</t>
        </is>
      </c>
      <c r="E37" s="39" t="n">
        <v>3500</v>
      </c>
      <c r="F37" s="6" t="inlineStr">
        <is>
          <t>debit</t>
        </is>
      </c>
      <c r="G37" s="6" t="inlineStr">
        <is>
          <t>balance_sheet</t>
        </is>
      </c>
    </row>
    <row r="38">
      <c r="A38" s="6" t="str"/>
      <c r="B38" s="6" t="str"/>
      <c r="C38" s="6" t="str"/>
      <c r="D38" s="6" t="inlineStr">
        <is>
          <t>MARKETING CHARGES</t>
        </is>
      </c>
      <c r="E38" s="39" t="n">
        <v>293.13</v>
      </c>
      <c r="F38" s="6" t="inlineStr">
        <is>
          <t>debit</t>
        </is>
      </c>
      <c r="G38" s="6" t="inlineStr">
        <is>
          <t>balance_sheet</t>
        </is>
      </c>
    </row>
    <row r="39">
      <c r="A39" s="6" t="str"/>
      <c r="B39" s="6" t="str"/>
      <c r="C39" s="6" t="str"/>
      <c r="D39" s="6" t="inlineStr">
        <is>
          <t>Advertisement &amp; Publicity</t>
        </is>
      </c>
      <c r="E39" s="39" t="n">
        <v>500</v>
      </c>
      <c r="F39" s="6" t="inlineStr">
        <is>
          <t>debit</t>
        </is>
      </c>
      <c r="G39" s="6" t="inlineStr">
        <is>
          <t>balance_sheet</t>
        </is>
      </c>
    </row>
    <row r="40">
      <c r="A40" s="6" t="str"/>
      <c r="B40" s="6" t="str"/>
      <c r="C40" s="6" t="str"/>
      <c r="D40" s="6" t="inlineStr">
        <is>
          <t>Advertisement &amp; Publicity</t>
        </is>
      </c>
      <c r="E40" s="39" t="n">
        <v>10785.73</v>
      </c>
      <c r="F40" s="6" t="inlineStr">
        <is>
          <t>debit</t>
        </is>
      </c>
      <c r="G40" s="6" t="inlineStr">
        <is>
          <t>balance_sheet</t>
        </is>
      </c>
    </row>
    <row r="42">
      <c r="A42" s="24" t="inlineStr">
        <is>
          <t>H. Platform Costs</t>
        </is>
      </c>
      <c r="B42" s="24" t="str"/>
      <c r="C42" s="24" t="str"/>
      <c r="D42" s="24" t="str"/>
      <c r="E42" s="37" t="n">
        <v>175.53</v>
      </c>
      <c r="F42" s="24" t="inlineStr">
        <is>
          <t>1 txns</t>
        </is>
      </c>
      <c r="G42" s="24" t="str"/>
    </row>
    <row r="43">
      <c r="A43" s="34" t="str"/>
      <c r="B43" s="38" t="inlineStr">
        <is>
          <t>Shopify Subscription</t>
        </is>
      </c>
      <c r="C43" s="34" t="str"/>
      <c r="D43" s="34" t="str"/>
      <c r="E43" s="35" t="n">
        <v>175.53</v>
      </c>
      <c r="F43" s="34" t="inlineStr">
        <is>
          <t>1 txns</t>
        </is>
      </c>
      <c r="G43" s="34" t="inlineStr">
        <is>
          <t>balance_sheet</t>
        </is>
      </c>
    </row>
    <row r="44">
      <c r="A44" s="6" t="str"/>
      <c r="B44" s="6" t="str"/>
      <c r="C44" s="6" t="str"/>
      <c r="D44" s="6" t="inlineStr">
        <is>
          <t>PLATFORM FEE</t>
        </is>
      </c>
      <c r="E44" s="39" t="n">
        <v>175.53</v>
      </c>
      <c r="F44" s="6" t="inlineStr">
        <is>
          <t>debit</t>
        </is>
      </c>
      <c r="G44" s="6" t="inlineStr">
        <is>
          <t>balance_sheet</t>
        </is>
      </c>
    </row>
    <row r="46">
      <c r="A46" s="24" t="inlineStr">
        <is>
          <t>I. Operating Expenses</t>
        </is>
      </c>
      <c r="B46" s="24" t="str"/>
      <c r="C46" s="24" t="str"/>
      <c r="D46" s="24" t="str"/>
      <c r="E46" s="37" t="n">
        <v>752348.15</v>
      </c>
      <c r="F46" s="24" t="inlineStr">
        <is>
          <t>26 txns</t>
        </is>
      </c>
      <c r="G46" s="24" t="str"/>
    </row>
    <row r="47">
      <c r="A47" s="34" t="str"/>
      <c r="B47" s="38" t="inlineStr">
        <is>
          <t>Legal &amp; CA expenses</t>
        </is>
      </c>
      <c r="C47" s="34" t="str"/>
      <c r="D47" s="34" t="str"/>
      <c r="E47" s="35" t="n">
        <v>43300</v>
      </c>
      <c r="F47" s="34" t="inlineStr">
        <is>
          <t>3 txns</t>
        </is>
      </c>
      <c r="G47" s="34" t="inlineStr">
        <is>
          <t>balance_sheet</t>
        </is>
      </c>
    </row>
    <row r="48">
      <c r="A48" s="6" t="str"/>
      <c r="B48" s="6" t="str"/>
      <c r="C48" s="6" t="str"/>
      <c r="D48" s="6" t="inlineStr">
        <is>
          <t>ACCOUNTING &amp; RETURN FILLING</t>
        </is>
      </c>
      <c r="E48" s="39" t="n">
        <v>10000</v>
      </c>
      <c r="F48" s="6" t="inlineStr">
        <is>
          <t>debit</t>
        </is>
      </c>
      <c r="G48" s="6" t="inlineStr">
        <is>
          <t>balance_sheet</t>
        </is>
      </c>
    </row>
    <row r="49">
      <c r="A49" s="6" t="str"/>
      <c r="B49" s="6" t="str"/>
      <c r="C49" s="6" t="str"/>
      <c r="D49" s="6" t="inlineStr">
        <is>
          <t>LEGAL &amp; PROFESSIONAL EXPENS</t>
        </is>
      </c>
      <c r="E49" s="39" t="n">
        <v>29800</v>
      </c>
      <c r="F49" s="6" t="inlineStr">
        <is>
          <t>debit</t>
        </is>
      </c>
      <c r="G49" s="6" t="inlineStr">
        <is>
          <t>balance_sheet</t>
        </is>
      </c>
    </row>
    <row r="50">
      <c r="A50" s="6" t="str"/>
      <c r="B50" s="6" t="str"/>
      <c r="C50" s="6" t="str"/>
      <c r="D50" s="6" t="inlineStr">
        <is>
          <t>LICENCE REGISTRATION EXP.</t>
        </is>
      </c>
      <c r="E50" s="39" t="n">
        <v>3500</v>
      </c>
      <c r="F50" s="6" t="inlineStr">
        <is>
          <t>debit</t>
        </is>
      </c>
      <c r="G50" s="6" t="inlineStr">
        <is>
          <t>balance_sheet</t>
        </is>
      </c>
    </row>
    <row r="51">
      <c r="A51" s="34" t="str"/>
      <c r="B51" s="38" t="inlineStr">
        <is>
          <t>Banks &amp; Finance Charges</t>
        </is>
      </c>
      <c r="C51" s="34" t="str"/>
      <c r="D51" s="34" t="str"/>
      <c r="E51" s="35" t="n">
        <v>35641</v>
      </c>
      <c r="F51" s="34" t="inlineStr">
        <is>
          <t>1 txns</t>
        </is>
      </c>
      <c r="G51" s="34" t="inlineStr">
        <is>
          <t>balance_sheet</t>
        </is>
      </c>
    </row>
    <row r="52">
      <c r="A52" s="6" t="str"/>
      <c r="B52" s="6" t="str"/>
      <c r="C52" s="6" t="str"/>
      <c r="D52" s="6" t="inlineStr">
        <is>
          <t>Bank Charges@%</t>
        </is>
      </c>
      <c r="E52" s="39" t="n">
        <v>35641</v>
      </c>
      <c r="F52" s="6" t="inlineStr">
        <is>
          <t>debit</t>
        </is>
      </c>
      <c r="G52" s="6" t="inlineStr">
        <is>
          <t>balance_sheet</t>
        </is>
      </c>
    </row>
    <row r="53">
      <c r="A53" s="34" t="str"/>
      <c r="B53" s="38" t="inlineStr">
        <is>
          <t>Salaries (Admin Mgmt)</t>
        </is>
      </c>
      <c r="C53" s="34" t="str"/>
      <c r="D53" s="34" t="str"/>
      <c r="E53" s="35" t="n">
        <v>368943</v>
      </c>
      <c r="F53" s="34" t="inlineStr">
        <is>
          <t>2 txns</t>
        </is>
      </c>
      <c r="G53" s="34" t="inlineStr">
        <is>
          <t>balance_sheet</t>
        </is>
      </c>
    </row>
    <row r="54">
      <c r="A54" s="6" t="str"/>
      <c r="B54" s="6" t="str"/>
      <c r="C54" s="6" t="str"/>
      <c r="D54" s="6" t="inlineStr">
        <is>
          <t>ESI EMPLOYER CONTRIBUTTION E</t>
        </is>
      </c>
      <c r="E54" s="39" t="n">
        <v>2523</v>
      </c>
      <c r="F54" s="6" t="inlineStr">
        <is>
          <t>debit</t>
        </is>
      </c>
      <c r="G54" s="6" t="inlineStr">
        <is>
          <t>balance_sheet</t>
        </is>
      </c>
    </row>
    <row r="55">
      <c r="A55" s="6" t="str"/>
      <c r="B55" s="6" t="str"/>
      <c r="C55" s="6" t="str"/>
      <c r="D55" s="6" t="inlineStr">
        <is>
          <t>Salary Expenses</t>
        </is>
      </c>
      <c r="E55" s="39" t="n">
        <v>366420</v>
      </c>
      <c r="F55" s="6" t="inlineStr">
        <is>
          <t>debit</t>
        </is>
      </c>
      <c r="G55" s="6" t="inlineStr">
        <is>
          <t>balance_sheet</t>
        </is>
      </c>
    </row>
    <row r="56">
      <c r="A56" s="34" t="str"/>
      <c r="B56" s="38" t="inlineStr">
        <is>
          <t>Administrative Expenses</t>
        </is>
      </c>
      <c r="C56" s="34" t="str"/>
      <c r="D56" s="34" t="str"/>
      <c r="E56" s="35" t="n">
        <v>221385.08</v>
      </c>
      <c r="F56" s="34" t="inlineStr">
        <is>
          <t>10 txns</t>
        </is>
      </c>
      <c r="G56" s="34" t="inlineStr">
        <is>
          <t>balance_sheet</t>
        </is>
      </c>
    </row>
    <row r="57">
      <c r="A57" s="6" t="str"/>
      <c r="B57" s="6" t="str"/>
      <c r="C57" s="6" t="str"/>
      <c r="D57" s="6" t="inlineStr">
        <is>
          <t>OFFICE EXPENSES</t>
        </is>
      </c>
      <c r="E57" s="39" t="n">
        <v>3945</v>
      </c>
      <c r="F57" s="6" t="inlineStr">
        <is>
          <t>debit</t>
        </is>
      </c>
      <c r="G57" s="6" t="inlineStr">
        <is>
          <t>balance_sheet</t>
        </is>
      </c>
    </row>
    <row r="58">
      <c r="A58" s="6" t="str"/>
      <c r="B58" s="6" t="str"/>
      <c r="C58" s="6" t="str"/>
      <c r="D58" s="6" t="inlineStr">
        <is>
          <t>OFFICE EXPENSES @ %</t>
        </is>
      </c>
      <c r="E58" s="39" t="n">
        <v>470</v>
      </c>
      <c r="F58" s="6" t="inlineStr">
        <is>
          <t>debit</t>
        </is>
      </c>
      <c r="G58" s="6" t="inlineStr">
        <is>
          <t>balance_sheet</t>
        </is>
      </c>
    </row>
    <row r="59">
      <c r="A59" s="6" t="str"/>
      <c r="B59" s="6" t="str"/>
      <c r="C59" s="6" t="str"/>
      <c r="D59" s="6" t="inlineStr">
        <is>
          <t>OFFICE EXPENSES @ %</t>
        </is>
      </c>
      <c r="E59" s="39" t="n">
        <v>20706.6</v>
      </c>
      <c r="F59" s="6" t="inlineStr">
        <is>
          <t>debit</t>
        </is>
      </c>
      <c r="G59" s="6" t="inlineStr">
        <is>
          <t>balance_sheet</t>
        </is>
      </c>
    </row>
    <row r="60">
      <c r="A60" s="6" t="str"/>
      <c r="B60" s="6" t="str"/>
      <c r="C60" s="6" t="str"/>
      <c r="D60" s="6" t="inlineStr">
        <is>
          <t>Office Maintenance Expenses</t>
        </is>
      </c>
      <c r="E60" s="39" t="n">
        <v>7000</v>
      </c>
      <c r="F60" s="6" t="inlineStr">
        <is>
          <t>debit</t>
        </is>
      </c>
      <c r="G60" s="6" t="inlineStr">
        <is>
          <t>balance_sheet</t>
        </is>
      </c>
    </row>
    <row r="61">
      <c r="A61" s="6" t="str"/>
      <c r="B61" s="6" t="str"/>
      <c r="C61" s="6" t="str"/>
      <c r="D61" s="6" t="inlineStr">
        <is>
          <t>Office Rent</t>
        </is>
      </c>
      <c r="E61" s="39" t="n">
        <v>144453.13</v>
      </c>
      <c r="F61" s="6" t="inlineStr">
        <is>
          <t>debit</t>
        </is>
      </c>
      <c r="G61" s="6" t="inlineStr">
        <is>
          <t>balance_sheet</t>
        </is>
      </c>
    </row>
    <row r="62">
      <c r="A62" s="6" t="str"/>
      <c r="B62" s="6" t="str"/>
      <c r="C62" s="6" t="str"/>
      <c r="D62" s="6" t="inlineStr">
        <is>
          <t>Printing &amp; Stationery@%</t>
        </is>
      </c>
      <c r="E62" s="39" t="n">
        <v>5113.22</v>
      </c>
      <c r="F62" s="6" t="inlineStr">
        <is>
          <t>debit</t>
        </is>
      </c>
      <c r="G62" s="6" t="inlineStr">
        <is>
          <t>balance_sheet</t>
        </is>
      </c>
    </row>
    <row r="63">
      <c r="A63" s="6" t="str"/>
      <c r="B63" s="6" t="str"/>
      <c r="C63" s="6" t="str"/>
      <c r="D63" s="6" t="inlineStr">
        <is>
          <t>PRINTING STATIONERY EXPENSES</t>
        </is>
      </c>
      <c r="E63" s="39" t="n">
        <v>300</v>
      </c>
      <c r="F63" s="6" t="inlineStr">
        <is>
          <t>debit</t>
        </is>
      </c>
      <c r="G63" s="6" t="inlineStr">
        <is>
          <t>balance_sheet</t>
        </is>
      </c>
    </row>
    <row r="64">
      <c r="A64" s="6" t="str"/>
      <c r="B64" s="6" t="str"/>
      <c r="C64" s="6" t="str"/>
      <c r="D64" s="6" t="inlineStr">
        <is>
          <t>REPAIRE &amp; MAINTENANCE EXPENS</t>
        </is>
      </c>
      <c r="E64" s="39" t="n">
        <v>12628</v>
      </c>
      <c r="F64" s="6" t="inlineStr">
        <is>
          <t>debit</t>
        </is>
      </c>
      <c r="G64" s="6" t="inlineStr">
        <is>
          <t>balance_sheet</t>
        </is>
      </c>
    </row>
    <row r="65">
      <c r="A65" s="6" t="str"/>
      <c r="B65" s="6" t="str"/>
      <c r="C65" s="6" t="str"/>
      <c r="D65" s="6" t="inlineStr">
        <is>
          <t>REPAIRE &amp; MAINTENANCE EXPENS</t>
        </is>
      </c>
      <c r="E65" s="39" t="n">
        <v>1420</v>
      </c>
      <c r="F65" s="6" t="inlineStr">
        <is>
          <t>debit</t>
        </is>
      </c>
      <c r="G65" s="6" t="inlineStr">
        <is>
          <t>balance_sheet</t>
        </is>
      </c>
    </row>
    <row r="66">
      <c r="A66" s="6" t="str"/>
      <c r="B66" s="6" t="str"/>
      <c r="C66" s="6" t="str"/>
      <c r="D66" s="6" t="inlineStr">
        <is>
          <t>VEHICAL RUNING MAINTENANCE</t>
        </is>
      </c>
      <c r="E66" s="39" t="n">
        <v>25349.13</v>
      </c>
      <c r="F66" s="6" t="inlineStr">
        <is>
          <t>debit</t>
        </is>
      </c>
      <c r="G66" s="6" t="inlineStr">
        <is>
          <t>balance_sheet</t>
        </is>
      </c>
    </row>
    <row r="67">
      <c r="A67" s="34" t="str"/>
      <c r="B67" s="38" t="inlineStr">
        <is>
          <t>Other Operating Expenses</t>
        </is>
      </c>
      <c r="C67" s="34" t="str"/>
      <c r="D67" s="34" t="str"/>
      <c r="E67" s="35" t="n">
        <v>52512.07</v>
      </c>
      <c r="F67" s="34" t="inlineStr">
        <is>
          <t>7 txns</t>
        </is>
      </c>
      <c r="G67" s="34" t="inlineStr">
        <is>
          <t>balance_sheet</t>
        </is>
      </c>
    </row>
    <row r="68">
      <c r="A68" s="6" t="str"/>
      <c r="B68" s="6" t="str"/>
      <c r="C68" s="6" t="str"/>
      <c r="D68" s="6" t="inlineStr">
        <is>
          <t>RATE DIFFERENCE</t>
        </is>
      </c>
      <c r="E68" s="39" t="n">
        <v>30000</v>
      </c>
      <c r="F68" s="6" t="inlineStr">
        <is>
          <t>debit</t>
        </is>
      </c>
      <c r="G68" s="6" t="inlineStr">
        <is>
          <t>balance_sheet</t>
        </is>
      </c>
    </row>
    <row r="69">
      <c r="A69" s="6" t="str"/>
      <c r="B69" s="6" t="str"/>
      <c r="C69" s="6" t="str"/>
      <c r="D69" s="6" t="inlineStr">
        <is>
          <t>Rounded Off</t>
        </is>
      </c>
      <c r="E69" s="39" t="n">
        <v>-3.8</v>
      </c>
      <c r="F69" s="6" t="inlineStr">
        <is>
          <t>debit</t>
        </is>
      </c>
      <c r="G69" s="6" t="inlineStr">
        <is>
          <t>balance_sheet</t>
        </is>
      </c>
    </row>
    <row r="70">
      <c r="A70" s="6" t="str"/>
      <c r="B70" s="6" t="str"/>
      <c r="C70" s="6" t="str"/>
      <c r="D70" s="6" t="inlineStr">
        <is>
          <t>TRANSPOTATION EXPENSES</t>
        </is>
      </c>
      <c r="E70" s="39" t="n">
        <v>21570</v>
      </c>
      <c r="F70" s="6" t="inlineStr">
        <is>
          <t>debit</t>
        </is>
      </c>
      <c r="G70" s="6" t="inlineStr">
        <is>
          <t>balance_sheet</t>
        </is>
      </c>
    </row>
    <row r="71">
      <c r="A71" s="6" t="str"/>
      <c r="B71" s="6" t="str"/>
      <c r="C71" s="6" t="str"/>
      <c r="D71" s="6" t="inlineStr">
        <is>
          <t>RETURN FEE</t>
        </is>
      </c>
      <c r="E71" s="39" t="n">
        <v>750</v>
      </c>
      <c r="F71" s="6" t="inlineStr">
        <is>
          <t>debit</t>
        </is>
      </c>
      <c r="G71" s="6" t="inlineStr">
        <is>
          <t>balance_sheet</t>
        </is>
      </c>
    </row>
    <row r="72">
      <c r="A72" s="6" t="str"/>
      <c r="B72" s="6" t="str"/>
      <c r="C72" s="6" t="str"/>
      <c r="D72" s="6" t="inlineStr">
        <is>
          <t>Rounded Off</t>
        </is>
      </c>
      <c r="E72" s="39" t="n">
        <v>-1.5</v>
      </c>
      <c r="F72" s="6" t="inlineStr">
        <is>
          <t>debit</t>
        </is>
      </c>
      <c r="G72" s="6" t="inlineStr">
        <is>
          <t>balance_sheet</t>
        </is>
      </c>
    </row>
    <row r="73">
      <c r="A73" s="6" t="str"/>
      <c r="B73" s="6" t="str"/>
      <c r="C73" s="6" t="str"/>
      <c r="D73" s="6" t="inlineStr">
        <is>
          <t>RETURN FEE</t>
        </is>
      </c>
      <c r="E73" s="39" t="n">
        <v>200</v>
      </c>
      <c r="F73" s="6" t="inlineStr">
        <is>
          <t>debit</t>
        </is>
      </c>
      <c r="G73" s="6" t="inlineStr">
        <is>
          <t>balance_sheet</t>
        </is>
      </c>
    </row>
    <row r="74">
      <c r="A74" s="6" t="str"/>
      <c r="B74" s="6" t="str"/>
      <c r="C74" s="6" t="str"/>
      <c r="D74" s="6" t="inlineStr">
        <is>
          <t>Rounded Off</t>
        </is>
      </c>
      <c r="E74" s="39" t="n">
        <v>-2.63</v>
      </c>
      <c r="F74" s="6" t="inlineStr">
        <is>
          <t>debit</t>
        </is>
      </c>
      <c r="G74" s="6" t="inlineStr">
        <is>
          <t>balance_sheet</t>
        </is>
      </c>
    </row>
    <row r="75">
      <c r="A75" s="34" t="str"/>
      <c r="B75" s="38" t="inlineStr">
        <is>
          <t>Staff Welfare &amp; Events</t>
        </is>
      </c>
      <c r="C75" s="34" t="str"/>
      <c r="D75" s="34" t="str"/>
      <c r="E75" s="35" t="n">
        <v>2178</v>
      </c>
      <c r="F75" s="34" t="inlineStr">
        <is>
          <t>2 txns</t>
        </is>
      </c>
      <c r="G75" s="34" t="inlineStr">
        <is>
          <t>balance_sheet</t>
        </is>
      </c>
    </row>
    <row r="76">
      <c r="A76" s="6" t="str"/>
      <c r="B76" s="6" t="str"/>
      <c r="C76" s="6" t="str"/>
      <c r="D76" s="6" t="inlineStr">
        <is>
          <t>STAFF WELFARE EXPENSES</t>
        </is>
      </c>
      <c r="E76" s="39" t="n">
        <v>2128</v>
      </c>
      <c r="F76" s="6" t="inlineStr">
        <is>
          <t>debit</t>
        </is>
      </c>
      <c r="G76" s="6" t="inlineStr">
        <is>
          <t>balance_sheet</t>
        </is>
      </c>
    </row>
    <row r="77">
      <c r="A77" s="6" t="str"/>
      <c r="B77" s="6" t="str"/>
      <c r="C77" s="6" t="str"/>
      <c r="D77" s="6" t="inlineStr">
        <is>
          <t>Staff Welfare Expenses @%</t>
        </is>
      </c>
      <c r="E77" s="39" t="n">
        <v>50</v>
      </c>
      <c r="F77" s="6" t="inlineStr">
        <is>
          <t>debit</t>
        </is>
      </c>
      <c r="G77" s="6" t="inlineStr">
        <is>
          <t>balance_sheet</t>
        </is>
      </c>
    </row>
    <row r="78">
      <c r="A78" s="34" t="str"/>
      <c r="B78" s="38" t="inlineStr">
        <is>
          <t>Miscellaneous (Travel, insurance)</t>
        </is>
      </c>
      <c r="C78" s="34" t="str"/>
      <c r="D78" s="34" t="str"/>
      <c r="E78" s="35" t="n">
        <v>28389</v>
      </c>
      <c r="F78" s="34" t="inlineStr">
        <is>
          <t>1 txns</t>
        </is>
      </c>
      <c r="G78" s="34" t="inlineStr">
        <is>
          <t>balance_sheet</t>
        </is>
      </c>
    </row>
    <row r="79">
      <c r="A79" s="6" t="str"/>
      <c r="B79" s="6" t="str"/>
      <c r="C79" s="6" t="str"/>
      <c r="D79" s="6" t="inlineStr">
        <is>
          <t>Travelling Expenses</t>
        </is>
      </c>
      <c r="E79" s="39" t="n">
        <v>28389</v>
      </c>
      <c r="F79" s="6" t="inlineStr">
        <is>
          <t>debit</t>
        </is>
      </c>
      <c r="G79" s="6" t="inlineStr">
        <is>
          <t>balance_sheet</t>
        </is>
      </c>
    </row>
    <row r="81">
      <c r="A81" s="24" t="inlineStr">
        <is>
          <t>J. Non-Operating</t>
        </is>
      </c>
      <c r="B81" s="24" t="str"/>
      <c r="C81" s="24" t="str"/>
      <c r="D81" s="24" t="str"/>
      <c r="E81" s="37" t="n">
        <v>52479</v>
      </c>
      <c r="F81" s="24" t="inlineStr">
        <is>
          <t>1 txns</t>
        </is>
      </c>
      <c r="G81" s="24" t="str"/>
    </row>
    <row r="82">
      <c r="A82" s="34" t="str"/>
      <c r="B82" s="38" t="inlineStr">
        <is>
          <t>Less: Interest Expense</t>
        </is>
      </c>
      <c r="C82" s="34" t="str"/>
      <c r="D82" s="34" t="str"/>
      <c r="E82" s="35" t="n">
        <v>52479</v>
      </c>
      <c r="F82" s="34" t="inlineStr">
        <is>
          <t>1 txns</t>
        </is>
      </c>
      <c r="G82" s="34" t="inlineStr">
        <is>
          <t>balance_sheet</t>
        </is>
      </c>
    </row>
    <row r="83">
      <c r="A83" s="6" t="str"/>
      <c r="B83" s="6" t="str"/>
      <c r="C83" s="6" t="str"/>
      <c r="D83" s="6" t="inlineStr">
        <is>
          <t>INTEREST ON OD LIMIT</t>
        </is>
      </c>
      <c r="E83" s="39" t="n">
        <v>52479</v>
      </c>
      <c r="F83" s="6" t="inlineStr">
        <is>
          <t>debit</t>
        </is>
      </c>
      <c r="G83" s="6" t="inlineStr">
        <is>
          <t>balance_sheet</t>
        </is>
      </c>
    </row>
  </sheetData>
  <mergeCells count="1">
    <mergeCell ref="A1:G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cols>
    <col width="25.83203125" customWidth="1" style="2" min="1" max="1"/>
    <col width="30.83203125" customWidth="1" style="2" min="2" max="2"/>
    <col width="12.83203125" customWidth="1" style="2" min="3" max="3"/>
    <col width="45.83203125" customWidth="1" style="2" min="4" max="4"/>
    <col width="15.83203125" customWidth="1" style="2" min="5" max="5"/>
    <col width="10.83203125" customWidth="1" style="2" min="6" max="6"/>
    <col width="15.83203125" customWidth="1" style="2" min="7" max="7"/>
  </cols>
  <sheetData>
    <row r="1">
      <c r="A1" s="40" t="inlineStr">
        <is>
          <t>Mar 2025 - TRANSACTION DETAILS</t>
        </is>
      </c>
    </row>
    <row r="3">
      <c r="A3" s="5" t="inlineStr">
        <is>
          <t>Head</t>
        </is>
      </c>
      <c r="B3" s="5" t="inlineStr">
        <is>
          <t>Subhead</t>
        </is>
      </c>
      <c r="C3" s="5" t="inlineStr">
        <is>
          <t>Date</t>
        </is>
      </c>
      <c r="D3" s="5" t="inlineStr">
        <is>
          <t>Account</t>
        </is>
      </c>
      <c r="E3" s="5" t="inlineStr">
        <is>
          <t>Amount (₹)</t>
        </is>
      </c>
      <c r="F3" s="5" t="inlineStr">
        <is>
          <t>Type</t>
        </is>
      </c>
      <c r="G3" s="5" t="inlineStr">
        <is>
          <t>Source</t>
        </is>
      </c>
    </row>
    <row r="4">
      <c r="A4" s="24" t="inlineStr">
        <is>
          <t>E. COGM</t>
        </is>
      </c>
      <c r="B4" s="24" t="str"/>
      <c r="C4" s="24" t="str"/>
      <c r="D4" s="24" t="str"/>
      <c r="E4" s="37" t="n">
        <v>172840.58</v>
      </c>
      <c r="F4" s="24" t="inlineStr">
        <is>
          <t>8 txns</t>
        </is>
      </c>
      <c r="G4" s="24" t="str"/>
    </row>
    <row r="5">
      <c r="A5" s="34" t="str"/>
      <c r="B5" s="38" t="inlineStr">
        <is>
          <t>Raw Materials &amp; Inventory</t>
        </is>
      </c>
      <c r="C5" s="34" t="str"/>
      <c r="D5" s="34" t="str"/>
      <c r="E5" s="35" t="n">
        <v>741184.54</v>
      </c>
      <c r="F5" s="34" t="inlineStr">
        <is>
          <t>1 txns</t>
        </is>
      </c>
      <c r="G5" s="34" t="inlineStr">
        <is>
          <t>calculated</t>
        </is>
      </c>
    </row>
    <row r="6">
      <c r="A6" s="6" t="str"/>
      <c r="B6" s="6" t="str"/>
      <c r="C6" s="6" t="str"/>
      <c r="D6" s="6" t="inlineStr">
        <is>
          <t>Raw Materials (Prorated by Revenue)</t>
        </is>
      </c>
      <c r="E6" s="39" t="n">
        <v>741184.54</v>
      </c>
      <c r="F6" s="6" t="inlineStr">
        <is>
          <t>debit</t>
        </is>
      </c>
      <c r="G6" s="6" t="inlineStr">
        <is>
          <t>calculated</t>
        </is>
      </c>
    </row>
    <row r="7">
      <c r="A7" s="34" t="str"/>
      <c r="B7" s="38" t="inlineStr">
        <is>
          <t>Consumables</t>
        </is>
      </c>
      <c r="C7" s="34" t="str"/>
      <c r="D7" s="34" t="str"/>
      <c r="E7" s="35" t="n">
        <v>8165</v>
      </c>
      <c r="F7" s="34" t="inlineStr">
        <is>
          <t>2 txns</t>
        </is>
      </c>
      <c r="G7" s="34" t="inlineStr">
        <is>
          <t>balance_sheet</t>
        </is>
      </c>
    </row>
    <row r="8">
      <c r="A8" s="6" t="str"/>
      <c r="B8" s="6" t="str"/>
      <c r="C8" s="6" t="str"/>
      <c r="D8" s="6" t="inlineStr">
        <is>
          <t>CONSUMABLE EXPENSES @%</t>
        </is>
      </c>
      <c r="E8" s="39" t="n">
        <v>2865</v>
      </c>
      <c r="F8" s="6" t="inlineStr">
        <is>
          <t>debit</t>
        </is>
      </c>
      <c r="G8" s="6" t="inlineStr">
        <is>
          <t>balance_sheet</t>
        </is>
      </c>
    </row>
    <row r="9">
      <c r="A9" s="6" t="str"/>
      <c r="B9" s="6" t="str"/>
      <c r="C9" s="6" t="str"/>
      <c r="D9" s="6" t="inlineStr">
        <is>
          <t>CONSUMABLE EXPENSES @%</t>
        </is>
      </c>
      <c r="E9" s="39" t="n">
        <v>5300</v>
      </c>
      <c r="F9" s="6" t="inlineStr">
        <is>
          <t>debit</t>
        </is>
      </c>
      <c r="G9" s="6" t="inlineStr">
        <is>
          <t>balance_sheet</t>
        </is>
      </c>
    </row>
    <row r="10">
      <c r="A10" s="34" t="str"/>
      <c r="B10" s="38" t="inlineStr">
        <is>
          <t>Factory Maintenance</t>
        </is>
      </c>
      <c r="C10" s="34" t="str"/>
      <c r="D10" s="34" t="str"/>
      <c r="E10" s="35" t="n">
        <v>25285</v>
      </c>
      <c r="F10" s="34" t="inlineStr">
        <is>
          <t>2 txns</t>
        </is>
      </c>
      <c r="G10" s="34" t="inlineStr">
        <is>
          <t>balance_sheet</t>
        </is>
      </c>
    </row>
    <row r="11">
      <c r="A11" s="6" t="str"/>
      <c r="B11" s="6" t="str"/>
      <c r="C11" s="6" t="str"/>
      <c r="D11" s="6" t="inlineStr">
        <is>
          <t>Electricity &amp; Water Expenses</t>
        </is>
      </c>
      <c r="E11" s="39" t="n">
        <v>6285</v>
      </c>
      <c r="F11" s="6" t="inlineStr">
        <is>
          <t>debit</t>
        </is>
      </c>
      <c r="G11" s="6" t="inlineStr">
        <is>
          <t>balance_sheet</t>
        </is>
      </c>
    </row>
    <row r="12">
      <c r="A12" s="6" t="str"/>
      <c r="B12" s="6" t="str"/>
      <c r="C12" s="6" t="str"/>
      <c r="D12" s="6" t="inlineStr">
        <is>
          <t>POWER BACKUP &amp; MAITENANCE (D</t>
        </is>
      </c>
      <c r="E12" s="39" t="n">
        <v>19000</v>
      </c>
      <c r="F12" s="6" t="inlineStr">
        <is>
          <t>debit</t>
        </is>
      </c>
      <c r="G12" s="6" t="inlineStr">
        <is>
          <t>balance_sheet</t>
        </is>
      </c>
    </row>
    <row r="13">
      <c r="A13" s="34" t="str"/>
      <c r="B13" s="38" t="inlineStr">
        <is>
          <t>Inbound Transport</t>
        </is>
      </c>
      <c r="C13" s="34" t="str"/>
      <c r="D13" s="34" t="str"/>
      <c r="E13" s="35" t="n">
        <v>7265.58</v>
      </c>
      <c r="F13" s="34" t="inlineStr">
        <is>
          <t>2 txns</t>
        </is>
      </c>
      <c r="G13" s="34" t="inlineStr">
        <is>
          <t>balance_sheet</t>
        </is>
      </c>
    </row>
    <row r="14">
      <c r="A14" s="6" t="str"/>
      <c r="B14" s="6" t="str"/>
      <c r="C14" s="6" t="str"/>
      <c r="D14" s="6" t="inlineStr">
        <is>
          <t>FREIGHT CHARES @%</t>
        </is>
      </c>
      <c r="E14" s="39" t="n">
        <v>6078</v>
      </c>
      <c r="F14" s="6" t="inlineStr">
        <is>
          <t>debit</t>
        </is>
      </c>
      <c r="G14" s="6" t="inlineStr">
        <is>
          <t>balance_sheet</t>
        </is>
      </c>
    </row>
    <row r="15">
      <c r="A15" s="6" t="str"/>
      <c r="B15" s="6" t="str"/>
      <c r="C15" s="6" t="str"/>
      <c r="D15" s="6" t="inlineStr">
        <is>
          <t>FREIGHT CHARGES@%</t>
        </is>
      </c>
      <c r="E15" s="39" t="n">
        <v>1187.58</v>
      </c>
      <c r="F15" s="6" t="inlineStr">
        <is>
          <t>debit</t>
        </is>
      </c>
      <c r="G15" s="6" t="inlineStr">
        <is>
          <t>balance_sheet</t>
        </is>
      </c>
    </row>
    <row r="16">
      <c r="A16" s="34" t="str"/>
      <c r="B16" s="38" t="inlineStr">
        <is>
          <t>Job work</t>
        </is>
      </c>
      <c r="C16" s="34" t="str"/>
      <c r="D16" s="34" t="str"/>
      <c r="E16" s="35" t="n">
        <v>23125</v>
      </c>
      <c r="F16" s="34" t="inlineStr">
        <is>
          <t>1 txns</t>
        </is>
      </c>
      <c r="G16" s="34" t="inlineStr">
        <is>
          <t>balance_sheet</t>
        </is>
      </c>
    </row>
    <row r="17">
      <c r="A17" s="6" t="str"/>
      <c r="B17" s="6" t="str"/>
      <c r="C17" s="6" t="str"/>
      <c r="D17" s="6" t="inlineStr">
        <is>
          <t>JOB WORK @%</t>
        </is>
      </c>
      <c r="E17" s="39" t="n">
        <v>23125</v>
      </c>
      <c r="F17" s="6" t="inlineStr">
        <is>
          <t>debit</t>
        </is>
      </c>
      <c r="G17" s="6" t="inlineStr">
        <is>
          <t>balance_sheet</t>
        </is>
      </c>
    </row>
    <row r="18">
      <c r="A18" s="34" t="str"/>
      <c r="B18" s="38" t="inlineStr">
        <is>
          <t>Manufacturing Wages</t>
        </is>
      </c>
      <c r="C18" s="34" t="str"/>
      <c r="D18" s="34" t="str"/>
      <c r="E18" s="35" t="n">
        <v>109000</v>
      </c>
      <c r="F18" s="34" t="inlineStr">
        <is>
          <t>1 txns</t>
        </is>
      </c>
      <c r="G18" s="34" t="inlineStr">
        <is>
          <t>balance_sheet</t>
        </is>
      </c>
    </row>
    <row r="19">
      <c r="A19" s="6" t="str"/>
      <c r="B19" s="6" t="str"/>
      <c r="C19" s="6" t="str"/>
      <c r="D19" s="6" t="inlineStr">
        <is>
          <t>LABOUR &amp; WAGES EXPENSES</t>
        </is>
      </c>
      <c r="E19" s="39" t="n">
        <v>109000</v>
      </c>
      <c r="F19" s="6" t="inlineStr">
        <is>
          <t>debit</t>
        </is>
      </c>
      <c r="G19" s="6" t="inlineStr">
        <is>
          <t>balance_sheet</t>
        </is>
      </c>
    </row>
    <row r="21">
      <c r="A21" s="24" t="inlineStr">
        <is>
          <t>F. Channel &amp; Fulfillment</t>
        </is>
      </c>
      <c r="B21" s="24" t="str"/>
      <c r="C21" s="24" t="str"/>
      <c r="D21" s="24" t="str"/>
      <c r="E21" s="37" t="n">
        <v>302995.15</v>
      </c>
      <c r="F21" s="24" t="inlineStr">
        <is>
          <t>9 txns</t>
        </is>
      </c>
      <c r="G21" s="24" t="str"/>
    </row>
    <row r="22">
      <c r="A22" s="34" t="str"/>
      <c r="B22" s="38" t="inlineStr">
        <is>
          <t>Amazon Fees</t>
        </is>
      </c>
      <c r="C22" s="34" t="str"/>
      <c r="D22" s="34" t="str"/>
      <c r="E22" s="35" t="n">
        <v>246835</v>
      </c>
      <c r="F22" s="34" t="inlineStr">
        <is>
          <t>3 txns</t>
        </is>
      </c>
      <c r="G22" s="34" t="inlineStr">
        <is>
          <t>balance_sheet</t>
        </is>
      </c>
    </row>
    <row r="23">
      <c r="A23" s="6" t="str"/>
      <c r="B23" s="6" t="str"/>
      <c r="C23" s="6" t="str"/>
      <c r="D23" s="6" t="inlineStr">
        <is>
          <t>AMAZON LOGISTICS EXP.</t>
        </is>
      </c>
      <c r="E23" s="39" t="n">
        <v>102730.26</v>
      </c>
      <c r="F23" s="6" t="inlineStr">
        <is>
          <t>debit</t>
        </is>
      </c>
      <c r="G23" s="6" t="inlineStr">
        <is>
          <t>balance_sheet</t>
        </is>
      </c>
    </row>
    <row r="24">
      <c r="A24" s="6" t="str"/>
      <c r="B24" s="6" t="str"/>
      <c r="C24" s="6" t="str"/>
      <c r="D24" s="6" t="inlineStr">
        <is>
          <t>AMAZON LOGISTICS EXP.</t>
        </is>
      </c>
      <c r="E24" s="39" t="n">
        <v>63179.09</v>
      </c>
      <c r="F24" s="6" t="inlineStr">
        <is>
          <t>debit</t>
        </is>
      </c>
      <c r="G24" s="6" t="inlineStr">
        <is>
          <t>balance_sheet</t>
        </is>
      </c>
    </row>
    <row r="25">
      <c r="A25" s="6" t="str"/>
      <c r="B25" s="6" t="str"/>
      <c r="C25" s="6" t="str"/>
      <c r="D25" s="6" t="inlineStr">
        <is>
          <t>AMAZON LOGISCTICS EXP.</t>
        </is>
      </c>
      <c r="E25" s="39" t="n">
        <v>80925.64999999999</v>
      </c>
      <c r="F25" s="6" t="inlineStr">
        <is>
          <t>debit</t>
        </is>
      </c>
      <c r="G25" s="6" t="inlineStr">
        <is>
          <t>balance_sheet</t>
        </is>
      </c>
    </row>
    <row r="26">
      <c r="A26" s="34" t="str"/>
      <c r="B26" s="38" t="inlineStr">
        <is>
          <t>D2C Fees</t>
        </is>
      </c>
      <c r="C26" s="34" t="str"/>
      <c r="D26" s="34" t="str"/>
      <c r="E26" s="35" t="n">
        <v>56160.15</v>
      </c>
      <c r="F26" s="34" t="inlineStr">
        <is>
          <t>6 txns</t>
        </is>
      </c>
      <c r="G26" s="34" t="inlineStr">
        <is>
          <t>balance_sheet</t>
        </is>
      </c>
    </row>
    <row r="27">
      <c r="A27" s="6" t="str"/>
      <c r="B27" s="6" t="str"/>
      <c r="C27" s="6" t="str"/>
      <c r="D27" s="6" t="inlineStr">
        <is>
          <t>COURIER &amp; POSTAGE EXPENSE</t>
        </is>
      </c>
      <c r="E27" s="39" t="n">
        <v>25767.96</v>
      </c>
      <c r="F27" s="6" t="inlineStr">
        <is>
          <t>debit</t>
        </is>
      </c>
      <c r="G27" s="6" t="inlineStr">
        <is>
          <t>balance_sheet</t>
        </is>
      </c>
    </row>
    <row r="28">
      <c r="A28" s="6" t="str"/>
      <c r="B28" s="6" t="str"/>
      <c r="C28" s="6" t="str"/>
      <c r="D28" s="6" t="inlineStr">
        <is>
          <t>FREIGHT CHARGE@%</t>
        </is>
      </c>
      <c r="E28" s="39" t="n">
        <v>6615</v>
      </c>
      <c r="F28" s="6" t="inlineStr">
        <is>
          <t>debit</t>
        </is>
      </c>
      <c r="G28" s="6" t="inlineStr">
        <is>
          <t>balance_sheet</t>
        </is>
      </c>
    </row>
    <row r="29">
      <c r="A29" s="6" t="str"/>
      <c r="B29" s="6" t="str"/>
      <c r="C29" s="6" t="str"/>
      <c r="D29" s="6" t="inlineStr">
        <is>
          <t>LOADING &amp; UNLOADING EXP.</t>
        </is>
      </c>
      <c r="E29" s="39" t="n">
        <v>500</v>
      </c>
      <c r="F29" s="6" t="inlineStr">
        <is>
          <t>debit</t>
        </is>
      </c>
      <c r="G29" s="6" t="inlineStr">
        <is>
          <t>balance_sheet</t>
        </is>
      </c>
    </row>
    <row r="30">
      <c r="A30" s="6" t="str"/>
      <c r="B30" s="6" t="str"/>
      <c r="C30" s="6" t="str"/>
      <c r="D30" s="6" t="inlineStr">
        <is>
          <t>LOGISTICS EXP.</t>
        </is>
      </c>
      <c r="E30" s="39" t="n">
        <v>423.65</v>
      </c>
      <c r="F30" s="6" t="inlineStr">
        <is>
          <t>debit</t>
        </is>
      </c>
      <c r="G30" s="6" t="inlineStr">
        <is>
          <t>balance_sheet</t>
        </is>
      </c>
    </row>
    <row r="31">
      <c r="A31" s="6" t="str"/>
      <c r="B31" s="6" t="str"/>
      <c r="C31" s="6" t="str"/>
      <c r="D31" s="6" t="inlineStr">
        <is>
          <t>PORTER DAILY EXP.</t>
        </is>
      </c>
      <c r="E31" s="39" t="n">
        <v>6321</v>
      </c>
      <c r="F31" s="6" t="inlineStr">
        <is>
          <t>debit</t>
        </is>
      </c>
      <c r="G31" s="6" t="inlineStr">
        <is>
          <t>balance_sheet</t>
        </is>
      </c>
    </row>
    <row r="32">
      <c r="A32" s="6" t="str"/>
      <c r="B32" s="6" t="str"/>
      <c r="C32" s="6" t="str"/>
      <c r="D32" s="6" t="inlineStr">
        <is>
          <t>LOGISTICS EXP.</t>
        </is>
      </c>
      <c r="E32" s="39" t="n">
        <v>16532.54</v>
      </c>
      <c r="F32" s="6" t="inlineStr">
        <is>
          <t>debit</t>
        </is>
      </c>
      <c r="G32" s="6" t="inlineStr">
        <is>
          <t>balance_sheet</t>
        </is>
      </c>
    </row>
    <row r="34">
      <c r="A34" s="24" t="inlineStr">
        <is>
          <t>G. Sales &amp; Marketing</t>
        </is>
      </c>
      <c r="B34" s="24" t="str"/>
      <c r="C34" s="24" t="str"/>
      <c r="D34" s="24" t="str"/>
      <c r="E34" s="37" t="n">
        <v>382285.53</v>
      </c>
      <c r="F34" s="24" t="inlineStr">
        <is>
          <t>4 txns</t>
        </is>
      </c>
      <c r="G34" s="24" t="str"/>
    </row>
    <row r="35">
      <c r="A35" s="34" t="str"/>
      <c r="B35" s="38" t="inlineStr">
        <is>
          <t>Advertising &amp; Marketing</t>
        </is>
      </c>
      <c r="C35" s="34" t="str"/>
      <c r="D35" s="34" t="str"/>
      <c r="E35" s="35" t="n">
        <v>382285.53</v>
      </c>
      <c r="F35" s="34" t="inlineStr">
        <is>
          <t>4 txns</t>
        </is>
      </c>
      <c r="G35" s="34" t="inlineStr">
        <is>
          <t>balance_sheet</t>
        </is>
      </c>
    </row>
    <row r="36">
      <c r="A36" s="6" t="str"/>
      <c r="B36" s="6" t="str"/>
      <c r="C36" s="6" t="str"/>
      <c r="D36" s="6" t="inlineStr">
        <is>
          <t>Advertisement &amp; Publicity</t>
        </is>
      </c>
      <c r="E36" s="39" t="n">
        <v>380243.14</v>
      </c>
      <c r="F36" s="6" t="inlineStr">
        <is>
          <t>debit</t>
        </is>
      </c>
      <c r="G36" s="6" t="inlineStr">
        <is>
          <t>balance_sheet</t>
        </is>
      </c>
    </row>
    <row r="37">
      <c r="A37" s="6" t="str"/>
      <c r="B37" s="6" t="str"/>
      <c r="C37" s="6" t="str"/>
      <c r="D37" s="6" t="inlineStr">
        <is>
          <t>MARKETING CHARGES</t>
        </is>
      </c>
      <c r="E37" s="39" t="n">
        <v>792.16</v>
      </c>
      <c r="F37" s="6" t="inlineStr">
        <is>
          <t>debit</t>
        </is>
      </c>
      <c r="G37" s="6" t="inlineStr">
        <is>
          <t>balance_sheet</t>
        </is>
      </c>
    </row>
    <row r="38">
      <c r="A38" s="6" t="str"/>
      <c r="B38" s="6" t="str"/>
      <c r="C38" s="6" t="str"/>
      <c r="D38" s="6" t="inlineStr">
        <is>
          <t>Advertisement &amp; Publicity</t>
        </is>
      </c>
      <c r="E38" s="39" t="n">
        <v>463.6</v>
      </c>
      <c r="F38" s="6" t="inlineStr">
        <is>
          <t>debit</t>
        </is>
      </c>
      <c r="G38" s="6" t="inlineStr">
        <is>
          <t>balance_sheet</t>
        </is>
      </c>
    </row>
    <row r="39">
      <c r="A39" s="6" t="str"/>
      <c r="B39" s="6" t="str"/>
      <c r="C39" s="6" t="str"/>
      <c r="D39" s="6" t="inlineStr">
        <is>
          <t>Advertisement &amp; Publicity</t>
        </is>
      </c>
      <c r="E39" s="39" t="n">
        <v>786.63</v>
      </c>
      <c r="F39" s="6" t="inlineStr">
        <is>
          <t>debit</t>
        </is>
      </c>
      <c r="G39" s="6" t="inlineStr">
        <is>
          <t>balance_sheet</t>
        </is>
      </c>
    </row>
    <row r="41">
      <c r="A41" s="24" t="inlineStr">
        <is>
          <t>H. Platform Costs</t>
        </is>
      </c>
      <c r="B41" s="24" t="str"/>
      <c r="C41" s="24" t="str"/>
      <c r="D41" s="24" t="str"/>
      <c r="E41" s="37" t="n">
        <v>1791.18</v>
      </c>
      <c r="F41" s="24" t="inlineStr">
        <is>
          <t>1 txns</t>
        </is>
      </c>
      <c r="G41" s="24" t="str"/>
    </row>
    <row r="42">
      <c r="A42" s="34" t="str"/>
      <c r="B42" s="38" t="inlineStr">
        <is>
          <t>Shopify Subscription</t>
        </is>
      </c>
      <c r="C42" s="34" t="str"/>
      <c r="D42" s="34" t="str"/>
      <c r="E42" s="35" t="n">
        <v>1791.18</v>
      </c>
      <c r="F42" s="34" t="inlineStr">
        <is>
          <t>1 txns</t>
        </is>
      </c>
      <c r="G42" s="34" t="inlineStr">
        <is>
          <t>balance_sheet</t>
        </is>
      </c>
    </row>
    <row r="43">
      <c r="A43" s="6" t="str"/>
      <c r="B43" s="6" t="str"/>
      <c r="C43" s="6" t="str"/>
      <c r="D43" s="6" t="inlineStr">
        <is>
          <t>PLATFORM FEE</t>
        </is>
      </c>
      <c r="E43" s="39" t="n">
        <v>1791.18</v>
      </c>
      <c r="F43" s="6" t="inlineStr">
        <is>
          <t>debit</t>
        </is>
      </c>
      <c r="G43" s="6" t="inlineStr">
        <is>
          <t>balance_sheet</t>
        </is>
      </c>
    </row>
    <row r="45">
      <c r="A45" s="24" t="inlineStr">
        <is>
          <t>I. Operating Expenses</t>
        </is>
      </c>
      <c r="B45" s="24" t="str"/>
      <c r="C45" s="24" t="str"/>
      <c r="D45" s="24" t="str"/>
      <c r="E45" s="37" t="n">
        <v>674097.48</v>
      </c>
      <c r="F45" s="24" t="inlineStr">
        <is>
          <t>30 txns</t>
        </is>
      </c>
      <c r="G45" s="24" t="str"/>
    </row>
    <row r="46">
      <c r="A46" s="34" t="str"/>
      <c r="B46" s="38" t="inlineStr">
        <is>
          <t>Legal &amp; CA expenses</t>
        </is>
      </c>
      <c r="C46" s="34" t="str"/>
      <c r="D46" s="34" t="str"/>
      <c r="E46" s="35" t="n">
        <v>117647</v>
      </c>
      <c r="F46" s="34" t="inlineStr">
        <is>
          <t>5 txns</t>
        </is>
      </c>
      <c r="G46" s="34" t="inlineStr">
        <is>
          <t>balance_sheet</t>
        </is>
      </c>
    </row>
    <row r="47">
      <c r="A47" s="6" t="str"/>
      <c r="B47" s="6" t="str"/>
      <c r="C47" s="6" t="str"/>
      <c r="D47" s="6" t="inlineStr">
        <is>
          <t>ACCOUNTING &amp; RETURN FILLING</t>
        </is>
      </c>
      <c r="E47" s="39" t="n">
        <v>27074</v>
      </c>
      <c r="F47" s="6" t="inlineStr">
        <is>
          <t>debit</t>
        </is>
      </c>
      <c r="G47" s="6" t="inlineStr">
        <is>
          <t>balance_sheet</t>
        </is>
      </c>
    </row>
    <row r="48">
      <c r="A48" s="6" t="str"/>
      <c r="B48" s="6" t="str"/>
      <c r="C48" s="6" t="str"/>
      <c r="D48" s="6" t="inlineStr">
        <is>
          <t>GEM REGISTRATION EXP.</t>
        </is>
      </c>
      <c r="E48" s="39" t="n">
        <v>10000</v>
      </c>
      <c r="F48" s="6" t="inlineStr">
        <is>
          <t>debit</t>
        </is>
      </c>
      <c r="G48" s="6" t="inlineStr">
        <is>
          <t>balance_sheet</t>
        </is>
      </c>
    </row>
    <row r="49">
      <c r="A49" s="6" t="str"/>
      <c r="B49" s="6" t="str"/>
      <c r="C49" s="6" t="str"/>
      <c r="D49" s="6" t="inlineStr">
        <is>
          <t>GOVERNMENT FEE EXPENSES</t>
        </is>
      </c>
      <c r="E49" s="39" t="n">
        <v>4073</v>
      </c>
      <c r="F49" s="6" t="inlineStr">
        <is>
          <t>debit</t>
        </is>
      </c>
      <c r="G49" s="6" t="inlineStr">
        <is>
          <t>balance_sheet</t>
        </is>
      </c>
    </row>
    <row r="50">
      <c r="A50" s="6" t="str"/>
      <c r="B50" s="6" t="str"/>
      <c r="C50" s="6" t="str"/>
      <c r="D50" s="6" t="inlineStr">
        <is>
          <t>LEGAL &amp; PROFESSIONAL EXPENS</t>
        </is>
      </c>
      <c r="E50" s="39" t="n">
        <v>70500</v>
      </c>
      <c r="F50" s="6" t="inlineStr">
        <is>
          <t>debit</t>
        </is>
      </c>
      <c r="G50" s="6" t="inlineStr">
        <is>
          <t>balance_sheet</t>
        </is>
      </c>
    </row>
    <row r="51">
      <c r="A51" s="6" t="str"/>
      <c r="B51" s="6" t="str"/>
      <c r="C51" s="6" t="str"/>
      <c r="D51" s="6" t="inlineStr">
        <is>
          <t>LICENCE REGISTRATION EXP.</t>
        </is>
      </c>
      <c r="E51" s="39" t="n">
        <v>6000</v>
      </c>
      <c r="F51" s="6" t="inlineStr">
        <is>
          <t>debit</t>
        </is>
      </c>
      <c r="G51" s="6" t="inlineStr">
        <is>
          <t>balance_sheet</t>
        </is>
      </c>
    </row>
    <row r="52">
      <c r="A52" s="34" t="str"/>
      <c r="B52" s="38" t="inlineStr">
        <is>
          <t>Other Operating Expenses</t>
        </is>
      </c>
      <c r="C52" s="34" t="str"/>
      <c r="D52" s="34" t="str"/>
      <c r="E52" s="35" t="n">
        <v>41886.25</v>
      </c>
      <c r="F52" s="34" t="inlineStr">
        <is>
          <t>7 txns</t>
        </is>
      </c>
      <c r="G52" s="34" t="inlineStr">
        <is>
          <t>balance_sheet</t>
        </is>
      </c>
    </row>
    <row r="53">
      <c r="A53" s="6" t="str"/>
      <c r="B53" s="6" t="str"/>
      <c r="C53" s="6" t="str"/>
      <c r="D53" s="6" t="inlineStr">
        <is>
          <t>AVANISH KUMAR (EXP. A/C)</t>
        </is>
      </c>
      <c r="E53" s="39" t="n">
        <v>-832</v>
      </c>
      <c r="F53" s="6" t="inlineStr">
        <is>
          <t>debit</t>
        </is>
      </c>
      <c r="G53" s="6" t="inlineStr">
        <is>
          <t>balance_sheet</t>
        </is>
      </c>
    </row>
    <row r="54">
      <c r="A54" s="6" t="str"/>
      <c r="B54" s="6" t="str"/>
      <c r="C54" s="6" t="str"/>
      <c r="D54" s="6" t="inlineStr">
        <is>
          <t>PRABHASH EXP. A/C</t>
        </is>
      </c>
      <c r="E54" s="39" t="n">
        <v>4745</v>
      </c>
      <c r="F54" s="6" t="inlineStr">
        <is>
          <t>debit</t>
        </is>
      </c>
      <c r="G54" s="6" t="inlineStr">
        <is>
          <t>balance_sheet</t>
        </is>
      </c>
    </row>
    <row r="55">
      <c r="A55" s="6" t="str"/>
      <c r="B55" s="6" t="str"/>
      <c r="C55" s="6" t="str"/>
      <c r="D55" s="6" t="inlineStr">
        <is>
          <t>Rounded Off</t>
        </is>
      </c>
      <c r="E55" s="39" t="n">
        <v>39.88</v>
      </c>
      <c r="F55" s="6" t="inlineStr">
        <is>
          <t>debit</t>
        </is>
      </c>
      <c r="G55" s="6" t="inlineStr">
        <is>
          <t>balance_sheet</t>
        </is>
      </c>
    </row>
    <row r="56">
      <c r="A56" s="6" t="str"/>
      <c r="B56" s="6" t="str"/>
      <c r="C56" s="6" t="str"/>
      <c r="D56" s="6" t="inlineStr">
        <is>
          <t>TRANSPOTATION EXPENSES</t>
        </is>
      </c>
      <c r="E56" s="39" t="n">
        <v>4352</v>
      </c>
      <c r="F56" s="6" t="inlineStr">
        <is>
          <t>debit</t>
        </is>
      </c>
      <c r="G56" s="6" t="inlineStr">
        <is>
          <t>balance_sheet</t>
        </is>
      </c>
    </row>
    <row r="57">
      <c r="A57" s="6" t="str"/>
      <c r="B57" s="6" t="str"/>
      <c r="C57" s="6" t="str"/>
      <c r="D57" s="6" t="inlineStr">
        <is>
          <t>WEBSITE &amp; DEVLOPMENT EXP.</t>
        </is>
      </c>
      <c r="E57" s="39" t="n">
        <v>8999</v>
      </c>
      <c r="F57" s="6" t="inlineStr">
        <is>
          <t>debit</t>
        </is>
      </c>
      <c r="G57" s="6" t="inlineStr">
        <is>
          <t>balance_sheet</t>
        </is>
      </c>
    </row>
    <row r="58">
      <c r="A58" s="6" t="str"/>
      <c r="B58" s="6" t="str"/>
      <c r="C58" s="6" t="str"/>
      <c r="D58" s="6" t="inlineStr">
        <is>
          <t>LOGISCTICS EXP.</t>
        </is>
      </c>
      <c r="E58" s="39" t="n">
        <v>24581.19</v>
      </c>
      <c r="F58" s="6" t="inlineStr">
        <is>
          <t>debit</t>
        </is>
      </c>
      <c r="G58" s="6" t="inlineStr">
        <is>
          <t>balance_sheet</t>
        </is>
      </c>
    </row>
    <row r="59">
      <c r="A59" s="6" t="str"/>
      <c r="B59" s="6" t="str"/>
      <c r="C59" s="6" t="str"/>
      <c r="D59" s="6" t="inlineStr">
        <is>
          <t>Rounded Off</t>
        </is>
      </c>
      <c r="E59" s="39" t="n">
        <v>1.18</v>
      </c>
      <c r="F59" s="6" t="inlineStr">
        <is>
          <t>debit</t>
        </is>
      </c>
      <c r="G59" s="6" t="inlineStr">
        <is>
          <t>balance_sheet</t>
        </is>
      </c>
    </row>
    <row r="60">
      <c r="A60" s="34" t="str"/>
      <c r="B60" s="38" t="inlineStr">
        <is>
          <t>Banks &amp; Finance Charges</t>
        </is>
      </c>
      <c r="C60" s="34" t="str"/>
      <c r="D60" s="34" t="str"/>
      <c r="E60" s="35" t="n">
        <v>2647</v>
      </c>
      <c r="F60" s="34" t="inlineStr">
        <is>
          <t>1 txns</t>
        </is>
      </c>
      <c r="G60" s="34" t="inlineStr">
        <is>
          <t>balance_sheet</t>
        </is>
      </c>
    </row>
    <row r="61">
      <c r="A61" s="6" t="str"/>
      <c r="B61" s="6" t="str"/>
      <c r="C61" s="6" t="str"/>
      <c r="D61" s="6" t="inlineStr">
        <is>
          <t>Bank Charges@%</t>
        </is>
      </c>
      <c r="E61" s="39" t="n">
        <v>2647</v>
      </c>
      <c r="F61" s="6" t="inlineStr">
        <is>
          <t>debit</t>
        </is>
      </c>
      <c r="G61" s="6" t="inlineStr">
        <is>
          <t>balance_sheet</t>
        </is>
      </c>
    </row>
    <row r="62">
      <c r="A62" s="34" t="str"/>
      <c r="B62" s="38" t="inlineStr">
        <is>
          <t>Administrative Expenses</t>
        </is>
      </c>
      <c r="C62" s="34" t="str"/>
      <c r="D62" s="34" t="str"/>
      <c r="E62" s="35" t="n">
        <v>211636.48</v>
      </c>
      <c r="F62" s="34" t="inlineStr">
        <is>
          <t>11 txns</t>
        </is>
      </c>
      <c r="G62" s="34" t="inlineStr">
        <is>
          <t>balance_sheet</t>
        </is>
      </c>
    </row>
    <row r="63">
      <c r="A63" s="6" t="str"/>
      <c r="B63" s="6" t="str"/>
      <c r="C63" s="6" t="str"/>
      <c r="D63" s="6" t="inlineStr">
        <is>
          <t>COMMUNICATION EXP.</t>
        </is>
      </c>
      <c r="E63" s="39" t="n">
        <v>2800</v>
      </c>
      <c r="F63" s="6" t="inlineStr">
        <is>
          <t>debit</t>
        </is>
      </c>
      <c r="G63" s="6" t="inlineStr">
        <is>
          <t>balance_sheet</t>
        </is>
      </c>
    </row>
    <row r="64">
      <c r="A64" s="6" t="str"/>
      <c r="B64" s="6" t="str"/>
      <c r="C64" s="6" t="str"/>
      <c r="D64" s="6" t="inlineStr">
        <is>
          <t>OFFICE EXPENSES</t>
        </is>
      </c>
      <c r="E64" s="39" t="n">
        <v>9905</v>
      </c>
      <c r="F64" s="6" t="inlineStr">
        <is>
          <t>debit</t>
        </is>
      </c>
      <c r="G64" s="6" t="inlineStr">
        <is>
          <t>balance_sheet</t>
        </is>
      </c>
    </row>
    <row r="65">
      <c r="A65" s="6" t="str"/>
      <c r="B65" s="6" t="str"/>
      <c r="C65" s="6" t="str"/>
      <c r="D65" s="6" t="inlineStr">
        <is>
          <t>OFFICE EXPENSES @ %</t>
        </is>
      </c>
      <c r="E65" s="39" t="n">
        <v>260</v>
      </c>
      <c r="F65" s="6" t="inlineStr">
        <is>
          <t>debit</t>
        </is>
      </c>
      <c r="G65" s="6" t="inlineStr">
        <is>
          <t>balance_sheet</t>
        </is>
      </c>
    </row>
    <row r="66">
      <c r="A66" s="6" t="str"/>
      <c r="B66" s="6" t="str"/>
      <c r="C66" s="6" t="str"/>
      <c r="D66" s="6" t="inlineStr">
        <is>
          <t>Office Maintenance Expenses</t>
        </is>
      </c>
      <c r="E66" s="39" t="n">
        <v>9247</v>
      </c>
      <c r="F66" s="6" t="inlineStr">
        <is>
          <t>debit</t>
        </is>
      </c>
      <c r="G66" s="6" t="inlineStr">
        <is>
          <t>balance_sheet</t>
        </is>
      </c>
    </row>
    <row r="67">
      <c r="A67" s="6" t="str"/>
      <c r="B67" s="6" t="str"/>
      <c r="C67" s="6" t="str"/>
      <c r="D67" s="6" t="inlineStr">
        <is>
          <t>Office Rent</t>
        </is>
      </c>
      <c r="E67" s="39" t="n">
        <v>144453.13</v>
      </c>
      <c r="F67" s="6" t="inlineStr">
        <is>
          <t>debit</t>
        </is>
      </c>
      <c r="G67" s="6" t="inlineStr">
        <is>
          <t>balance_sheet</t>
        </is>
      </c>
    </row>
    <row r="68">
      <c r="A68" s="6" t="str"/>
      <c r="B68" s="6" t="str"/>
      <c r="C68" s="6" t="str"/>
      <c r="D68" s="6" t="inlineStr">
        <is>
          <t>Printing &amp; Stationery@%</t>
        </is>
      </c>
      <c r="E68" s="39" t="n">
        <v>837</v>
      </c>
      <c r="F68" s="6" t="inlineStr">
        <is>
          <t>debit</t>
        </is>
      </c>
      <c r="G68" s="6" t="inlineStr">
        <is>
          <t>balance_sheet</t>
        </is>
      </c>
    </row>
    <row r="69">
      <c r="A69" s="6" t="str"/>
      <c r="B69" s="6" t="str"/>
      <c r="C69" s="6" t="str"/>
      <c r="D69" s="6" t="inlineStr">
        <is>
          <t>Printing &amp; Stationery@%</t>
        </is>
      </c>
      <c r="E69" s="39" t="n">
        <v>4948</v>
      </c>
      <c r="F69" s="6" t="inlineStr">
        <is>
          <t>debit</t>
        </is>
      </c>
      <c r="G69" s="6" t="inlineStr">
        <is>
          <t>balance_sheet</t>
        </is>
      </c>
    </row>
    <row r="70">
      <c r="A70" s="6" t="str"/>
      <c r="B70" s="6" t="str"/>
      <c r="C70" s="6" t="str"/>
      <c r="D70" s="6" t="inlineStr">
        <is>
          <t>Printing &amp; Stationery@%</t>
        </is>
      </c>
      <c r="E70" s="39" t="n">
        <v>18</v>
      </c>
      <c r="F70" s="6" t="inlineStr">
        <is>
          <t>debit</t>
        </is>
      </c>
      <c r="G70" s="6" t="inlineStr">
        <is>
          <t>balance_sheet</t>
        </is>
      </c>
    </row>
    <row r="71">
      <c r="A71" s="6" t="str"/>
      <c r="B71" s="6" t="str"/>
      <c r="C71" s="6" t="str"/>
      <c r="D71" s="6" t="inlineStr">
        <is>
          <t>PRINTING STATIONERY EXPENSES</t>
        </is>
      </c>
      <c r="E71" s="39" t="n">
        <v>1673</v>
      </c>
      <c r="F71" s="6" t="inlineStr">
        <is>
          <t>debit</t>
        </is>
      </c>
      <c r="G71" s="6" t="inlineStr">
        <is>
          <t>balance_sheet</t>
        </is>
      </c>
    </row>
    <row r="72">
      <c r="A72" s="6" t="str"/>
      <c r="B72" s="6" t="str"/>
      <c r="C72" s="6" t="str"/>
      <c r="D72" s="6" t="inlineStr">
        <is>
          <t>REPAIRE &amp; MAINTENANCE EXPENS</t>
        </is>
      </c>
      <c r="E72" s="39" t="n">
        <v>8648</v>
      </c>
      <c r="F72" s="6" t="inlineStr">
        <is>
          <t>debit</t>
        </is>
      </c>
      <c r="G72" s="6" t="inlineStr">
        <is>
          <t>balance_sheet</t>
        </is>
      </c>
    </row>
    <row r="73">
      <c r="A73" s="6" t="str"/>
      <c r="B73" s="6" t="str"/>
      <c r="C73" s="6" t="str"/>
      <c r="D73" s="6" t="inlineStr">
        <is>
          <t>VEHICAL RUNING MAINTENANCE</t>
        </is>
      </c>
      <c r="E73" s="39" t="n">
        <v>28847.35</v>
      </c>
      <c r="F73" s="6" t="inlineStr">
        <is>
          <t>debit</t>
        </is>
      </c>
      <c r="G73" s="6" t="inlineStr">
        <is>
          <t>balance_sheet</t>
        </is>
      </c>
    </row>
    <row r="74">
      <c r="A74" s="34" t="str"/>
      <c r="B74" s="38" t="inlineStr">
        <is>
          <t>Salaries (Admin Mgmt)</t>
        </is>
      </c>
      <c r="C74" s="34" t="str"/>
      <c r="D74" s="34" t="str"/>
      <c r="E74" s="35" t="n">
        <v>267482</v>
      </c>
      <c r="F74" s="34" t="inlineStr">
        <is>
          <t>2 txns</t>
        </is>
      </c>
      <c r="G74" s="34" t="inlineStr">
        <is>
          <t>balance_sheet</t>
        </is>
      </c>
    </row>
    <row r="75">
      <c r="A75" s="6" t="str"/>
      <c r="B75" s="6" t="str"/>
      <c r="C75" s="6" t="str"/>
      <c r="D75" s="6" t="inlineStr">
        <is>
          <t>ESI EMPLOYER CONTRIBUTTION E</t>
        </is>
      </c>
      <c r="E75" s="39" t="n">
        <v>3358</v>
      </c>
      <c r="F75" s="6" t="inlineStr">
        <is>
          <t>debit</t>
        </is>
      </c>
      <c r="G75" s="6" t="inlineStr">
        <is>
          <t>balance_sheet</t>
        </is>
      </c>
    </row>
    <row r="76">
      <c r="A76" s="6" t="str"/>
      <c r="B76" s="6" t="str"/>
      <c r="C76" s="6" t="str"/>
      <c r="D76" s="6" t="inlineStr">
        <is>
          <t>Salary Expenses</t>
        </is>
      </c>
      <c r="E76" s="39" t="n">
        <v>264124</v>
      </c>
      <c r="F76" s="6" t="inlineStr">
        <is>
          <t>debit</t>
        </is>
      </c>
      <c r="G76" s="6" t="inlineStr">
        <is>
          <t>balance_sheet</t>
        </is>
      </c>
    </row>
    <row r="77">
      <c r="A77" s="34" t="str"/>
      <c r="B77" s="38" t="inlineStr">
        <is>
          <t>Miscellaneous (Travel, insurance)</t>
        </is>
      </c>
      <c r="C77" s="34" t="str"/>
      <c r="D77" s="34" t="str"/>
      <c r="E77" s="35" t="n">
        <v>29898.75</v>
      </c>
      <c r="F77" s="34" t="inlineStr">
        <is>
          <t>3 txns</t>
        </is>
      </c>
      <c r="G77" s="34" t="inlineStr">
        <is>
          <t>balance_sheet</t>
        </is>
      </c>
    </row>
    <row r="78">
      <c r="A78" s="6" t="str"/>
      <c r="B78" s="6" t="str"/>
      <c r="C78" s="6" t="str"/>
      <c r="D78" s="6" t="inlineStr">
        <is>
          <t>Miscellaneous Expenses</t>
        </is>
      </c>
      <c r="E78" s="39" t="n">
        <v>330.75</v>
      </c>
      <c r="F78" s="6" t="inlineStr">
        <is>
          <t>debit</t>
        </is>
      </c>
      <c r="G78" s="6" t="inlineStr">
        <is>
          <t>balance_sheet</t>
        </is>
      </c>
    </row>
    <row r="79">
      <c r="A79" s="6" t="str"/>
      <c r="B79" s="6" t="str"/>
      <c r="C79" s="6" t="str"/>
      <c r="D79" s="6" t="inlineStr">
        <is>
          <t>Tour &amp;Travelling Expenses</t>
        </is>
      </c>
      <c r="E79" s="39" t="n">
        <v>13408</v>
      </c>
      <c r="F79" s="6" t="inlineStr">
        <is>
          <t>debit</t>
        </is>
      </c>
      <c r="G79" s="6" t="inlineStr">
        <is>
          <t>balance_sheet</t>
        </is>
      </c>
    </row>
    <row r="80">
      <c r="A80" s="6" t="str"/>
      <c r="B80" s="6" t="str"/>
      <c r="C80" s="6" t="str"/>
      <c r="D80" s="6" t="inlineStr">
        <is>
          <t>Travelling Expenses</t>
        </is>
      </c>
      <c r="E80" s="39" t="n">
        <v>16160</v>
      </c>
      <c r="F80" s="6" t="inlineStr">
        <is>
          <t>debit</t>
        </is>
      </c>
      <c r="G80" s="6" t="inlineStr">
        <is>
          <t>balance_sheet</t>
        </is>
      </c>
    </row>
    <row r="81">
      <c r="A81" s="34" t="str"/>
      <c r="B81" s="38" t="inlineStr">
        <is>
          <t>Staff Welfare &amp; Events</t>
        </is>
      </c>
      <c r="C81" s="34" t="str"/>
      <c r="D81" s="34" t="str"/>
      <c r="E81" s="35" t="n">
        <v>2900</v>
      </c>
      <c r="F81" s="34" t="inlineStr">
        <is>
          <t>1 txns</t>
        </is>
      </c>
      <c r="G81" s="34" t="inlineStr">
        <is>
          <t>balance_sheet</t>
        </is>
      </c>
    </row>
    <row r="82">
      <c r="A82" s="6" t="str"/>
      <c r="B82" s="6" t="str"/>
      <c r="C82" s="6" t="str"/>
      <c r="D82" s="6" t="inlineStr">
        <is>
          <t>STAFF WELFARE EXPENSES</t>
        </is>
      </c>
      <c r="E82" s="39" t="n">
        <v>2900</v>
      </c>
      <c r="F82" s="6" t="inlineStr">
        <is>
          <t>debit</t>
        </is>
      </c>
      <c r="G82" s="6" t="inlineStr">
        <is>
          <t>balance_sheet</t>
        </is>
      </c>
    </row>
    <row r="84">
      <c r="A84" s="24" t="inlineStr">
        <is>
          <t>J. Non-Operating</t>
        </is>
      </c>
      <c r="B84" s="24" t="str"/>
      <c r="C84" s="24" t="str"/>
      <c r="D84" s="24" t="str"/>
      <c r="E84" s="37" t="n">
        <v>1670004.81</v>
      </c>
      <c r="F84" s="24" t="inlineStr">
        <is>
          <t>5 txns</t>
        </is>
      </c>
      <c r="G84" s="24" t="str"/>
    </row>
    <row r="85">
      <c r="A85" s="34" t="str"/>
      <c r="B85" s="38" t="inlineStr">
        <is>
          <t>Write-offs</t>
        </is>
      </c>
      <c r="C85" s="34" t="str"/>
      <c r="D85" s="34" t="str"/>
      <c r="E85" s="35" t="n">
        <v>317.81</v>
      </c>
      <c r="F85" s="34" t="inlineStr">
        <is>
          <t>1 txns</t>
        </is>
      </c>
      <c r="G85" s="34" t="inlineStr">
        <is>
          <t>balance_sheet</t>
        </is>
      </c>
    </row>
    <row r="86">
      <c r="A86" s="6" t="str"/>
      <c r="B86" s="6" t="str"/>
      <c r="C86" s="6" t="str"/>
      <c r="D86" s="6" t="inlineStr">
        <is>
          <t>AMOUNT WRITTEN OFF (INDIRECT</t>
        </is>
      </c>
      <c r="E86" s="39" t="n">
        <v>317.81</v>
      </c>
      <c r="F86" s="6" t="inlineStr">
        <is>
          <t>debit</t>
        </is>
      </c>
      <c r="G86" s="6" t="inlineStr">
        <is>
          <t>balance_sheet</t>
        </is>
      </c>
    </row>
    <row r="87">
      <c r="A87" s="34" t="str"/>
      <c r="B87" s="38" t="inlineStr">
        <is>
          <t>Less: Depreciation</t>
        </is>
      </c>
      <c r="C87" s="34" t="str"/>
      <c r="D87" s="34" t="str"/>
      <c r="E87" s="35" t="n">
        <v>1603838</v>
      </c>
      <c r="F87" s="34" t="inlineStr">
        <is>
          <t>2 txns</t>
        </is>
      </c>
      <c r="G87" s="34" t="inlineStr">
        <is>
          <t>balance_sheet</t>
        </is>
      </c>
    </row>
    <row r="88">
      <c r="A88" s="6" t="str"/>
      <c r="B88" s="6" t="str"/>
      <c r="C88" s="6" t="str"/>
      <c r="D88" s="6" t="inlineStr">
        <is>
          <t>Depreciation A/c</t>
        </is>
      </c>
      <c r="E88" s="39" t="n">
        <v>1603406</v>
      </c>
      <c r="F88" s="6" t="inlineStr">
        <is>
          <t>debit</t>
        </is>
      </c>
      <c r="G88" s="6" t="inlineStr">
        <is>
          <t>balance_sheet</t>
        </is>
      </c>
    </row>
    <row r="89">
      <c r="A89" s="6" t="str"/>
      <c r="B89" s="6" t="str"/>
      <c r="C89" s="6" t="str"/>
      <c r="D89" s="6" t="inlineStr">
        <is>
          <t>Depreciation A/c</t>
        </is>
      </c>
      <c r="E89" s="39" t="n">
        <v>432</v>
      </c>
      <c r="F89" s="6" t="inlineStr">
        <is>
          <t>debit</t>
        </is>
      </c>
      <c r="G89" s="6" t="inlineStr">
        <is>
          <t>balance_sheet</t>
        </is>
      </c>
    </row>
    <row r="90">
      <c r="A90" s="34" t="str"/>
      <c r="B90" s="38" t="inlineStr">
        <is>
          <t>Less: Interest Expense</t>
        </is>
      </c>
      <c r="C90" s="34" t="str"/>
      <c r="D90" s="34" t="str"/>
      <c r="E90" s="35" t="n">
        <v>65849</v>
      </c>
      <c r="F90" s="34" t="inlineStr">
        <is>
          <t>2 txns</t>
        </is>
      </c>
      <c r="G90" s="34" t="inlineStr">
        <is>
          <t>balance_sheet</t>
        </is>
      </c>
    </row>
    <row r="91">
      <c r="A91" s="6" t="str"/>
      <c r="B91" s="6" t="str"/>
      <c r="C91" s="6" t="str"/>
      <c r="D91" s="6" t="inlineStr">
        <is>
          <t>INTEREST ON CAR LOAN EXPENS</t>
        </is>
      </c>
      <c r="E91" s="39" t="n">
        <v>20174</v>
      </c>
      <c r="F91" s="6" t="inlineStr">
        <is>
          <t>debit</t>
        </is>
      </c>
      <c r="G91" s="6" t="inlineStr">
        <is>
          <t>balance_sheet</t>
        </is>
      </c>
    </row>
    <row r="92">
      <c r="A92" s="6" t="str"/>
      <c r="B92" s="6" t="str"/>
      <c r="C92" s="6" t="str"/>
      <c r="D92" s="6" t="inlineStr">
        <is>
          <t>INTEREST ON OD LIMIT</t>
        </is>
      </c>
      <c r="E92" s="39" t="n">
        <v>45675</v>
      </c>
      <c r="F92" s="6" t="inlineStr">
        <is>
          <t>debit</t>
        </is>
      </c>
      <c r="G92" s="6" t="inlineStr">
        <is>
          <t>balance_sheet</t>
        </is>
      </c>
    </row>
  </sheetData>
  <mergeCells count="1">
    <mergeCell ref="A1:G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cols>
    <col width="25.83203125" customWidth="1" style="2" min="1" max="1"/>
    <col width="30.83203125" customWidth="1" style="2" min="2" max="2"/>
    <col width="12.83203125" customWidth="1" style="2" min="3" max="3"/>
    <col width="45.83203125" customWidth="1" style="2" min="4" max="4"/>
    <col width="15.83203125" customWidth="1" style="2" min="5" max="5"/>
    <col width="10.83203125" customWidth="1" style="2" min="6" max="6"/>
    <col width="15.83203125" customWidth="1" style="2" min="7" max="7"/>
  </cols>
  <sheetData>
    <row r="1">
      <c r="A1" s="40" t="inlineStr">
        <is>
          <t>Feb 2025 - TRANSACTION DETAILS</t>
        </is>
      </c>
    </row>
    <row r="3">
      <c r="A3" s="5" t="inlineStr">
        <is>
          <t>Head</t>
        </is>
      </c>
      <c r="B3" s="5" t="inlineStr">
        <is>
          <t>Subhead</t>
        </is>
      </c>
      <c r="C3" s="5" t="inlineStr">
        <is>
          <t>Date</t>
        </is>
      </c>
      <c r="D3" s="5" t="inlineStr">
        <is>
          <t>Account</t>
        </is>
      </c>
      <c r="E3" s="5" t="inlineStr">
        <is>
          <t>Amount (₹)</t>
        </is>
      </c>
      <c r="F3" s="5" t="inlineStr">
        <is>
          <t>Type</t>
        </is>
      </c>
      <c r="G3" s="5" t="inlineStr">
        <is>
          <t>Source</t>
        </is>
      </c>
    </row>
    <row r="4">
      <c r="A4" s="24" t="inlineStr">
        <is>
          <t>E. COGM</t>
        </is>
      </c>
      <c r="B4" s="24" t="str"/>
      <c r="C4" s="24" t="str"/>
      <c r="D4" s="24" t="str"/>
      <c r="E4" s="37" t="n">
        <v>177153</v>
      </c>
      <c r="F4" s="24" t="inlineStr">
        <is>
          <t>6 txns</t>
        </is>
      </c>
      <c r="G4" s="24" t="str"/>
    </row>
    <row r="5">
      <c r="A5" s="34" t="str"/>
      <c r="B5" s="38" t="inlineStr">
        <is>
          <t>Raw Materials &amp; Inventory</t>
        </is>
      </c>
      <c r="C5" s="34" t="str"/>
      <c r="D5" s="34" t="str"/>
      <c r="E5" s="35" t="n">
        <v>658347.55</v>
      </c>
      <c r="F5" s="34" t="inlineStr">
        <is>
          <t>1 txns</t>
        </is>
      </c>
      <c r="G5" s="34" t="inlineStr">
        <is>
          <t>calculated</t>
        </is>
      </c>
    </row>
    <row r="6">
      <c r="A6" s="6" t="str"/>
      <c r="B6" s="6" t="str"/>
      <c r="C6" s="6" t="str"/>
      <c r="D6" s="6" t="inlineStr">
        <is>
          <t>Raw Materials (Prorated by Revenue)</t>
        </is>
      </c>
      <c r="E6" s="39" t="n">
        <v>658347.55</v>
      </c>
      <c r="F6" s="6" t="inlineStr">
        <is>
          <t>debit</t>
        </is>
      </c>
      <c r="G6" s="6" t="inlineStr">
        <is>
          <t>calculated</t>
        </is>
      </c>
    </row>
    <row r="7">
      <c r="A7" s="34" t="str"/>
      <c r="B7" s="38" t="inlineStr">
        <is>
          <t>Consumables</t>
        </is>
      </c>
      <c r="C7" s="34" t="str"/>
      <c r="D7" s="34" t="str"/>
      <c r="E7" s="35" t="n">
        <v>5700</v>
      </c>
      <c r="F7" s="34" t="inlineStr">
        <is>
          <t>1 txns</t>
        </is>
      </c>
      <c r="G7" s="34" t="inlineStr">
        <is>
          <t>balance_sheet</t>
        </is>
      </c>
    </row>
    <row r="8">
      <c r="A8" s="6" t="str"/>
      <c r="B8" s="6" t="str"/>
      <c r="C8" s="6" t="str"/>
      <c r="D8" s="6" t="inlineStr">
        <is>
          <t>CONSUMABLE EXPENSES @%</t>
        </is>
      </c>
      <c r="E8" s="39" t="n">
        <v>5700</v>
      </c>
      <c r="F8" s="6" t="inlineStr">
        <is>
          <t>debit</t>
        </is>
      </c>
      <c r="G8" s="6" t="inlineStr">
        <is>
          <t>balance_sheet</t>
        </is>
      </c>
    </row>
    <row r="9">
      <c r="A9" s="34" t="str"/>
      <c r="B9" s="38" t="inlineStr">
        <is>
          <t>Factory Maintenance</t>
        </is>
      </c>
      <c r="C9" s="34" t="str"/>
      <c r="D9" s="34" t="str"/>
      <c r="E9" s="35" t="n">
        <v>29243</v>
      </c>
      <c r="F9" s="34" t="inlineStr">
        <is>
          <t>2 txns</t>
        </is>
      </c>
      <c r="G9" s="34" t="inlineStr">
        <is>
          <t>balance_sheet</t>
        </is>
      </c>
    </row>
    <row r="10">
      <c r="A10" s="6" t="str"/>
      <c r="B10" s="6" t="str"/>
      <c r="C10" s="6" t="str"/>
      <c r="D10" s="6" t="inlineStr">
        <is>
          <t>Electricity &amp; Water Expenses</t>
        </is>
      </c>
      <c r="E10" s="39" t="n">
        <v>10243</v>
      </c>
      <c r="F10" s="6" t="inlineStr">
        <is>
          <t>debit</t>
        </is>
      </c>
      <c r="G10" s="6" t="inlineStr">
        <is>
          <t>balance_sheet</t>
        </is>
      </c>
    </row>
    <row r="11">
      <c r="A11" s="6" t="str"/>
      <c r="B11" s="6" t="str"/>
      <c r="C11" s="6" t="str"/>
      <c r="D11" s="6" t="inlineStr">
        <is>
          <t>POWER BACKUP &amp; MAITENANCE (D</t>
        </is>
      </c>
      <c r="E11" s="39" t="n">
        <v>19000</v>
      </c>
      <c r="F11" s="6" t="inlineStr">
        <is>
          <t>debit</t>
        </is>
      </c>
      <c r="G11" s="6" t="inlineStr">
        <is>
          <t>balance_sheet</t>
        </is>
      </c>
    </row>
    <row r="12">
      <c r="A12" s="34" t="str"/>
      <c r="B12" s="38" t="inlineStr">
        <is>
          <t>Inbound Transport</t>
        </is>
      </c>
      <c r="C12" s="34" t="str"/>
      <c r="D12" s="34" t="str"/>
      <c r="E12" s="35" t="n">
        <v>900</v>
      </c>
      <c r="F12" s="34" t="inlineStr">
        <is>
          <t>1 txns</t>
        </is>
      </c>
      <c r="G12" s="34" t="inlineStr">
        <is>
          <t>balance_sheet</t>
        </is>
      </c>
    </row>
    <row r="13">
      <c r="A13" s="6" t="str"/>
      <c r="B13" s="6" t="str"/>
      <c r="C13" s="6" t="str"/>
      <c r="D13" s="6" t="inlineStr">
        <is>
          <t>FREIGHT CHARES @%</t>
        </is>
      </c>
      <c r="E13" s="39" t="n">
        <v>900</v>
      </c>
      <c r="F13" s="6" t="inlineStr">
        <is>
          <t>debit</t>
        </is>
      </c>
      <c r="G13" s="6" t="inlineStr">
        <is>
          <t>balance_sheet</t>
        </is>
      </c>
    </row>
    <row r="14">
      <c r="A14" s="34" t="str"/>
      <c r="B14" s="38" t="inlineStr">
        <is>
          <t>Job work</t>
        </is>
      </c>
      <c r="C14" s="34" t="str"/>
      <c r="D14" s="34" t="str"/>
      <c r="E14" s="35" t="n">
        <v>51310</v>
      </c>
      <c r="F14" s="34" t="inlineStr">
        <is>
          <t>1 txns</t>
        </is>
      </c>
      <c r="G14" s="34" t="inlineStr">
        <is>
          <t>balance_sheet</t>
        </is>
      </c>
    </row>
    <row r="15">
      <c r="A15" s="6" t="str"/>
      <c r="B15" s="6" t="str"/>
      <c r="C15" s="6" t="str"/>
      <c r="D15" s="6" t="inlineStr">
        <is>
          <t>JOB WORK @%</t>
        </is>
      </c>
      <c r="E15" s="39" t="n">
        <v>51310</v>
      </c>
      <c r="F15" s="6" t="inlineStr">
        <is>
          <t>debit</t>
        </is>
      </c>
      <c r="G15" s="6" t="inlineStr">
        <is>
          <t>balance_sheet</t>
        </is>
      </c>
    </row>
    <row r="16">
      <c r="A16" s="34" t="str"/>
      <c r="B16" s="38" t="inlineStr">
        <is>
          <t>Manufacturing Wages</t>
        </is>
      </c>
      <c r="C16" s="34" t="str"/>
      <c r="D16" s="34" t="str"/>
      <c r="E16" s="35" t="n">
        <v>90000</v>
      </c>
      <c r="F16" s="34" t="inlineStr">
        <is>
          <t>1 txns</t>
        </is>
      </c>
      <c r="G16" s="34" t="inlineStr">
        <is>
          <t>balance_sheet</t>
        </is>
      </c>
    </row>
    <row r="17">
      <c r="A17" s="6" t="str"/>
      <c r="B17" s="6" t="str"/>
      <c r="C17" s="6" t="str"/>
      <c r="D17" s="6" t="inlineStr">
        <is>
          <t>LABOUR &amp; WAGES EXPENSES</t>
        </is>
      </c>
      <c r="E17" s="39" t="n">
        <v>90000</v>
      </c>
      <c r="F17" s="6" t="inlineStr">
        <is>
          <t>debit</t>
        </is>
      </c>
      <c r="G17" s="6" t="inlineStr">
        <is>
          <t>balance_sheet</t>
        </is>
      </c>
    </row>
    <row r="19">
      <c r="A19" s="24" t="inlineStr">
        <is>
          <t>F. Channel &amp; Fulfillment</t>
        </is>
      </c>
      <c r="B19" s="24" t="str"/>
      <c r="C19" s="24" t="str"/>
      <c r="D19" s="24" t="str"/>
      <c r="E19" s="37" t="n">
        <v>262732.75</v>
      </c>
      <c r="F19" s="24" t="inlineStr">
        <is>
          <t>6 txns</t>
        </is>
      </c>
      <c r="G19" s="24" t="str"/>
    </row>
    <row r="20">
      <c r="A20" s="34" t="str"/>
      <c r="B20" s="38" t="inlineStr">
        <is>
          <t>Amazon Fees</t>
        </is>
      </c>
      <c r="C20" s="34" t="str"/>
      <c r="D20" s="34" t="str"/>
      <c r="E20" s="35" t="n">
        <v>224039.31</v>
      </c>
      <c r="F20" s="34" t="inlineStr">
        <is>
          <t>3 txns</t>
        </is>
      </c>
      <c r="G20" s="34" t="inlineStr">
        <is>
          <t>balance_sheet</t>
        </is>
      </c>
    </row>
    <row r="21">
      <c r="A21" s="6" t="str"/>
      <c r="B21" s="6" t="str"/>
      <c r="C21" s="6" t="str"/>
      <c r="D21" s="6" t="inlineStr">
        <is>
          <t>AMAZON LOGISTICS EXP.</t>
        </is>
      </c>
      <c r="E21" s="39" t="n">
        <v>109850.86</v>
      </c>
      <c r="F21" s="6" t="inlineStr">
        <is>
          <t>debit</t>
        </is>
      </c>
      <c r="G21" s="6" t="inlineStr">
        <is>
          <t>balance_sheet</t>
        </is>
      </c>
    </row>
    <row r="22">
      <c r="A22" s="6" t="str"/>
      <c r="B22" s="6" t="str"/>
      <c r="C22" s="6" t="str"/>
      <c r="D22" s="6" t="inlineStr">
        <is>
          <t>AMAZON LOGISTICS EXP.</t>
        </is>
      </c>
      <c r="E22" s="39" t="n">
        <v>56624.8</v>
      </c>
      <c r="F22" s="6" t="inlineStr">
        <is>
          <t>debit</t>
        </is>
      </c>
      <c r="G22" s="6" t="inlineStr">
        <is>
          <t>balance_sheet</t>
        </is>
      </c>
    </row>
    <row r="23">
      <c r="A23" s="6" t="str"/>
      <c r="B23" s="6" t="str"/>
      <c r="C23" s="6" t="str"/>
      <c r="D23" s="6" t="inlineStr">
        <is>
          <t>AMAZON LOGISCTICS EXP.</t>
        </is>
      </c>
      <c r="E23" s="39" t="n">
        <v>57563.65</v>
      </c>
      <c r="F23" s="6" t="inlineStr">
        <is>
          <t>debit</t>
        </is>
      </c>
      <c r="G23" s="6" t="inlineStr">
        <is>
          <t>balance_sheet</t>
        </is>
      </c>
    </row>
    <row r="24">
      <c r="A24" s="34" t="str"/>
      <c r="B24" s="38" t="inlineStr">
        <is>
          <t>D2C Fees</t>
        </is>
      </c>
      <c r="C24" s="34" t="str"/>
      <c r="D24" s="34" t="str"/>
      <c r="E24" s="35" t="n">
        <v>38693.44</v>
      </c>
      <c r="F24" s="34" t="inlineStr">
        <is>
          <t>3 txns</t>
        </is>
      </c>
      <c r="G24" s="34" t="inlineStr">
        <is>
          <t>balance_sheet</t>
        </is>
      </c>
    </row>
    <row r="25">
      <c r="A25" s="6" t="str"/>
      <c r="B25" s="6" t="str"/>
      <c r="C25" s="6" t="str"/>
      <c r="D25" s="6" t="inlineStr">
        <is>
          <t>COURIER &amp; POSTAGE EXPENSE</t>
        </is>
      </c>
      <c r="E25" s="39" t="n">
        <v>23481.44</v>
      </c>
      <c r="F25" s="6" t="inlineStr">
        <is>
          <t>debit</t>
        </is>
      </c>
      <c r="G25" s="6" t="inlineStr">
        <is>
          <t>balance_sheet</t>
        </is>
      </c>
    </row>
    <row r="26">
      <c r="A26" s="6" t="str"/>
      <c r="B26" s="6" t="str"/>
      <c r="C26" s="6" t="str"/>
      <c r="D26" s="6" t="inlineStr">
        <is>
          <t>FREIGHT CHARGE@%</t>
        </is>
      </c>
      <c r="E26" s="39" t="n">
        <v>3538</v>
      </c>
      <c r="F26" s="6" t="inlineStr">
        <is>
          <t>debit</t>
        </is>
      </c>
      <c r="G26" s="6" t="inlineStr">
        <is>
          <t>balance_sheet</t>
        </is>
      </c>
    </row>
    <row r="27">
      <c r="A27" s="6" t="str"/>
      <c r="B27" s="6" t="str"/>
      <c r="C27" s="6" t="str"/>
      <c r="D27" s="6" t="inlineStr">
        <is>
          <t>PORTER DAILY EXP.</t>
        </is>
      </c>
      <c r="E27" s="39" t="n">
        <v>11674</v>
      </c>
      <c r="F27" s="6" t="inlineStr">
        <is>
          <t>debit</t>
        </is>
      </c>
      <c r="G27" s="6" t="inlineStr">
        <is>
          <t>balance_sheet</t>
        </is>
      </c>
    </row>
    <row r="29">
      <c r="A29" s="24" t="inlineStr">
        <is>
          <t>G. Sales &amp; Marketing</t>
        </is>
      </c>
      <c r="B29" s="24" t="str"/>
      <c r="C29" s="24" t="str"/>
      <c r="D29" s="24" t="str"/>
      <c r="E29" s="37" t="n">
        <v>362483.68</v>
      </c>
      <c r="F29" s="24" t="inlineStr">
        <is>
          <t>2 txns</t>
        </is>
      </c>
      <c r="G29" s="24" t="str"/>
    </row>
    <row r="30">
      <c r="A30" s="34" t="str"/>
      <c r="B30" s="38" t="inlineStr">
        <is>
          <t>Advertising &amp; Marketing</t>
        </is>
      </c>
      <c r="C30" s="34" t="str"/>
      <c r="D30" s="34" t="str"/>
      <c r="E30" s="35" t="n">
        <v>362483.68</v>
      </c>
      <c r="F30" s="34" t="inlineStr">
        <is>
          <t>2 txns</t>
        </is>
      </c>
      <c r="G30" s="34" t="inlineStr">
        <is>
          <t>balance_sheet</t>
        </is>
      </c>
    </row>
    <row r="31">
      <c r="A31" s="6" t="str"/>
      <c r="B31" s="6" t="str"/>
      <c r="C31" s="6" t="str"/>
      <c r="D31" s="6" t="inlineStr">
        <is>
          <t>Advertisement &amp; Publicity</t>
        </is>
      </c>
      <c r="E31" s="39" t="n">
        <v>362317.93</v>
      </c>
      <c r="F31" s="6" t="inlineStr">
        <is>
          <t>debit</t>
        </is>
      </c>
      <c r="G31" s="6" t="inlineStr">
        <is>
          <t>balance_sheet</t>
        </is>
      </c>
    </row>
    <row r="32">
      <c r="A32" s="6" t="str"/>
      <c r="B32" s="6" t="str"/>
      <c r="C32" s="6" t="str"/>
      <c r="D32" s="6" t="inlineStr">
        <is>
          <t>Advertisement &amp; Publicity</t>
        </is>
      </c>
      <c r="E32" s="39" t="n">
        <v>165.75</v>
      </c>
      <c r="F32" s="6" t="inlineStr">
        <is>
          <t>debit</t>
        </is>
      </c>
      <c r="G32" s="6" t="inlineStr">
        <is>
          <t>balance_sheet</t>
        </is>
      </c>
    </row>
    <row r="34">
      <c r="A34" s="24" t="inlineStr">
        <is>
          <t>H. Platform Costs</t>
        </is>
      </c>
      <c r="B34" s="24" t="str"/>
      <c r="C34" s="24" t="str"/>
      <c r="D34" s="24" t="str"/>
      <c r="E34" s="37" t="n">
        <v>2278.28</v>
      </c>
      <c r="F34" s="24" t="inlineStr">
        <is>
          <t>1 txns</t>
        </is>
      </c>
      <c r="G34" s="24" t="str"/>
    </row>
    <row r="35">
      <c r="A35" s="34" t="str"/>
      <c r="B35" s="38" t="inlineStr">
        <is>
          <t>Shopify Subscription</t>
        </is>
      </c>
      <c r="C35" s="34" t="str"/>
      <c r="D35" s="34" t="str"/>
      <c r="E35" s="35" t="n">
        <v>2278.28</v>
      </c>
      <c r="F35" s="34" t="inlineStr">
        <is>
          <t>1 txns</t>
        </is>
      </c>
      <c r="G35" s="34" t="inlineStr">
        <is>
          <t>balance_sheet</t>
        </is>
      </c>
    </row>
    <row r="36">
      <c r="A36" s="6" t="str"/>
      <c r="B36" s="6" t="str"/>
      <c r="C36" s="6" t="str"/>
      <c r="D36" s="6" t="inlineStr">
        <is>
          <t>PLATFORM FEE</t>
        </is>
      </c>
      <c r="E36" s="39" t="n">
        <v>2278.28</v>
      </c>
      <c r="F36" s="6" t="inlineStr">
        <is>
          <t>debit</t>
        </is>
      </c>
      <c r="G36" s="6" t="inlineStr">
        <is>
          <t>balance_sheet</t>
        </is>
      </c>
    </row>
    <row r="38">
      <c r="A38" s="24" t="inlineStr">
        <is>
          <t>I. Operating Expenses</t>
        </is>
      </c>
      <c r="B38" s="24" t="str"/>
      <c r="C38" s="24" t="str"/>
      <c r="D38" s="24" t="str"/>
      <c r="E38" s="37" t="n">
        <v>651531.12</v>
      </c>
      <c r="F38" s="24" t="inlineStr">
        <is>
          <t>27 txns</t>
        </is>
      </c>
      <c r="G38" s="24" t="str"/>
    </row>
    <row r="39">
      <c r="A39" s="34" t="str"/>
      <c r="B39" s="38" t="inlineStr">
        <is>
          <t>Other Operating Expenses</t>
        </is>
      </c>
      <c r="C39" s="34" t="str"/>
      <c r="D39" s="34" t="str"/>
      <c r="E39" s="35" t="n">
        <v>16085.28</v>
      </c>
      <c r="F39" s="34" t="inlineStr">
        <is>
          <t>6 txns</t>
        </is>
      </c>
      <c r="G39" s="34" t="inlineStr">
        <is>
          <t>balance_sheet</t>
        </is>
      </c>
    </row>
    <row r="40">
      <c r="A40" s="6" t="str"/>
      <c r="B40" s="6" t="str"/>
      <c r="C40" s="6" t="str"/>
      <c r="D40" s="6" t="inlineStr">
        <is>
          <t>AVANISH KUMAR (EXP. A/C)</t>
        </is>
      </c>
      <c r="E40" s="39" t="n">
        <v>832</v>
      </c>
      <c r="F40" s="6" t="inlineStr">
        <is>
          <t>debit</t>
        </is>
      </c>
      <c r="G40" s="6" t="inlineStr">
        <is>
          <t>balance_sheet</t>
        </is>
      </c>
    </row>
    <row r="41">
      <c r="A41" s="6" t="str"/>
      <c r="B41" s="6" t="str"/>
      <c r="C41" s="6" t="str"/>
      <c r="D41" s="6" t="inlineStr">
        <is>
          <t>PRABHASH EXP. A/C</t>
        </is>
      </c>
      <c r="E41" s="39" t="n">
        <v>-4745</v>
      </c>
      <c r="F41" s="6" t="inlineStr">
        <is>
          <t>debit</t>
        </is>
      </c>
      <c r="G41" s="6" t="inlineStr">
        <is>
          <t>balance_sheet</t>
        </is>
      </c>
    </row>
    <row r="42">
      <c r="A42" s="6" t="str"/>
      <c r="B42" s="6" t="str"/>
      <c r="C42" s="6" t="str"/>
      <c r="D42" s="6" t="inlineStr">
        <is>
          <t>RATE DIFFERENCE</t>
        </is>
      </c>
      <c r="E42" s="39" t="n">
        <v>13486</v>
      </c>
      <c r="F42" s="6" t="inlineStr">
        <is>
          <t>debit</t>
        </is>
      </c>
      <c r="G42" s="6" t="inlineStr">
        <is>
          <t>balance_sheet</t>
        </is>
      </c>
    </row>
    <row r="43">
      <c r="A43" s="6" t="str"/>
      <c r="B43" s="6" t="str"/>
      <c r="C43" s="6" t="str"/>
      <c r="D43" s="6" t="inlineStr">
        <is>
          <t>Rounded Off</t>
        </is>
      </c>
      <c r="E43" s="39" t="n">
        <v>0.15</v>
      </c>
      <c r="F43" s="6" t="inlineStr">
        <is>
          <t>debit</t>
        </is>
      </c>
      <c r="G43" s="6" t="inlineStr">
        <is>
          <t>balance_sheet</t>
        </is>
      </c>
    </row>
    <row r="44">
      <c r="A44" s="6" t="str"/>
      <c r="B44" s="6" t="str"/>
      <c r="C44" s="6" t="str"/>
      <c r="D44" s="6" t="inlineStr">
        <is>
          <t>TRANSPOTATION EXPENSES</t>
        </is>
      </c>
      <c r="E44" s="39" t="n">
        <v>1401</v>
      </c>
      <c r="F44" s="6" t="inlineStr">
        <is>
          <t>debit</t>
        </is>
      </c>
      <c r="G44" s="6" t="inlineStr">
        <is>
          <t>balance_sheet</t>
        </is>
      </c>
    </row>
    <row r="45">
      <c r="A45" s="6" t="str"/>
      <c r="B45" s="6" t="str"/>
      <c r="C45" s="6" t="str"/>
      <c r="D45" s="6" t="inlineStr">
        <is>
          <t>LOGISCTICS EXP.</t>
        </is>
      </c>
      <c r="E45" s="39" t="n">
        <v>5111.13</v>
      </c>
      <c r="F45" s="6" t="inlineStr">
        <is>
          <t>debit</t>
        </is>
      </c>
      <c r="G45" s="6" t="inlineStr">
        <is>
          <t>balance_sheet</t>
        </is>
      </c>
    </row>
    <row r="46">
      <c r="A46" s="34" t="str"/>
      <c r="B46" s="38" t="inlineStr">
        <is>
          <t>Banks &amp; Finance Charges</t>
        </is>
      </c>
      <c r="C46" s="34" t="str"/>
      <c r="D46" s="34" t="str"/>
      <c r="E46" s="35" t="n">
        <v>55275</v>
      </c>
      <c r="F46" s="34" t="inlineStr">
        <is>
          <t>2 txns</t>
        </is>
      </c>
      <c r="G46" s="34" t="inlineStr">
        <is>
          <t>balance_sheet</t>
        </is>
      </c>
    </row>
    <row r="47">
      <c r="A47" s="6" t="str"/>
      <c r="B47" s="6" t="str"/>
      <c r="C47" s="6" t="str"/>
      <c r="D47" s="6" t="inlineStr">
        <is>
          <t>Bank Charges@%</t>
        </is>
      </c>
      <c r="E47" s="39" t="n">
        <v>20975</v>
      </c>
      <c r="F47" s="6" t="inlineStr">
        <is>
          <t>debit</t>
        </is>
      </c>
      <c r="G47" s="6" t="inlineStr">
        <is>
          <t>balance_sheet</t>
        </is>
      </c>
    </row>
    <row r="48">
      <c r="A48" s="6" t="str"/>
      <c r="B48" s="6" t="str"/>
      <c r="C48" s="6" t="str"/>
      <c r="D48" s="6" t="inlineStr">
        <is>
          <t>PROCESSING FEE</t>
        </is>
      </c>
      <c r="E48" s="39" t="n">
        <v>34300</v>
      </c>
      <c r="F48" s="6" t="inlineStr">
        <is>
          <t>debit</t>
        </is>
      </c>
      <c r="G48" s="6" t="inlineStr">
        <is>
          <t>balance_sheet</t>
        </is>
      </c>
    </row>
    <row r="49">
      <c r="A49" s="34" t="str"/>
      <c r="B49" s="38" t="inlineStr">
        <is>
          <t>Administrative Expenses</t>
        </is>
      </c>
      <c r="C49" s="34" t="str"/>
      <c r="D49" s="34" t="str"/>
      <c r="E49" s="35" t="n">
        <v>191964.93</v>
      </c>
      <c r="F49" s="34" t="inlineStr">
        <is>
          <t>8 txns</t>
        </is>
      </c>
      <c r="G49" s="34" t="inlineStr">
        <is>
          <t>balance_sheet</t>
        </is>
      </c>
    </row>
    <row r="50">
      <c r="A50" s="6" t="str"/>
      <c r="B50" s="6" t="str"/>
      <c r="C50" s="6" t="str"/>
      <c r="D50" s="6" t="inlineStr">
        <is>
          <t>COMMUNICATION EXP.</t>
        </is>
      </c>
      <c r="E50" s="39" t="n">
        <v>30316.8</v>
      </c>
      <c r="F50" s="6" t="inlineStr">
        <is>
          <t>debit</t>
        </is>
      </c>
      <c r="G50" s="6" t="inlineStr">
        <is>
          <t>balance_sheet</t>
        </is>
      </c>
    </row>
    <row r="51">
      <c r="A51" s="6" t="str"/>
      <c r="B51" s="6" t="str"/>
      <c r="C51" s="6" t="str"/>
      <c r="D51" s="6" t="inlineStr">
        <is>
          <t>OFFICE EXPENSES</t>
        </is>
      </c>
      <c r="E51" s="39" t="n">
        <v>2900</v>
      </c>
      <c r="F51" s="6" t="inlineStr">
        <is>
          <t>debit</t>
        </is>
      </c>
      <c r="G51" s="6" t="inlineStr">
        <is>
          <t>balance_sheet</t>
        </is>
      </c>
    </row>
    <row r="52">
      <c r="A52" s="6" t="str"/>
      <c r="B52" s="6" t="str"/>
      <c r="C52" s="6" t="str"/>
      <c r="D52" s="6" t="inlineStr">
        <is>
          <t>OFFICE EXPENSES @ %</t>
        </is>
      </c>
      <c r="E52" s="39" t="n">
        <v>3210</v>
      </c>
      <c r="F52" s="6" t="inlineStr">
        <is>
          <t>debit</t>
        </is>
      </c>
      <c r="G52" s="6" t="inlineStr">
        <is>
          <t>balance_sheet</t>
        </is>
      </c>
    </row>
    <row r="53">
      <c r="A53" s="6" t="str"/>
      <c r="B53" s="6" t="str"/>
      <c r="C53" s="6" t="str"/>
      <c r="D53" s="6" t="inlineStr">
        <is>
          <t>Office Rent</t>
        </is>
      </c>
      <c r="E53" s="39" t="n">
        <v>144453.13</v>
      </c>
      <c r="F53" s="6" t="inlineStr">
        <is>
          <t>debit</t>
        </is>
      </c>
      <c r="G53" s="6" t="inlineStr">
        <is>
          <t>balance_sheet</t>
        </is>
      </c>
    </row>
    <row r="54">
      <c r="A54" s="6" t="str"/>
      <c r="B54" s="6" t="str"/>
      <c r="C54" s="6" t="str"/>
      <c r="D54" s="6" t="inlineStr">
        <is>
          <t>Printing &amp; Stationery@%</t>
        </is>
      </c>
      <c r="E54" s="39" t="n">
        <v>282</v>
      </c>
      <c r="F54" s="6" t="inlineStr">
        <is>
          <t>debit</t>
        </is>
      </c>
      <c r="G54" s="6" t="inlineStr">
        <is>
          <t>balance_sheet</t>
        </is>
      </c>
    </row>
    <row r="55">
      <c r="A55" s="6" t="str"/>
      <c r="B55" s="6" t="str"/>
      <c r="C55" s="6" t="str"/>
      <c r="D55" s="6" t="inlineStr">
        <is>
          <t>Printing &amp; Stationery@%</t>
        </is>
      </c>
      <c r="E55" s="39" t="n">
        <v>1586</v>
      </c>
      <c r="F55" s="6" t="inlineStr">
        <is>
          <t>debit</t>
        </is>
      </c>
      <c r="G55" s="6" t="inlineStr">
        <is>
          <t>balance_sheet</t>
        </is>
      </c>
    </row>
    <row r="56">
      <c r="A56" s="6" t="str"/>
      <c r="B56" s="6" t="str"/>
      <c r="C56" s="6" t="str"/>
      <c r="D56" s="6" t="inlineStr">
        <is>
          <t>PRINTING STATIONERY EXPENSES</t>
        </is>
      </c>
      <c r="E56" s="39" t="n">
        <v>2145</v>
      </c>
      <c r="F56" s="6" t="inlineStr">
        <is>
          <t>debit</t>
        </is>
      </c>
      <c r="G56" s="6" t="inlineStr">
        <is>
          <t>balance_sheet</t>
        </is>
      </c>
    </row>
    <row r="57">
      <c r="A57" s="6" t="str"/>
      <c r="B57" s="6" t="str"/>
      <c r="C57" s="6" t="str"/>
      <c r="D57" s="6" t="inlineStr">
        <is>
          <t>VEHICAL RUNING MAINTENANCE</t>
        </is>
      </c>
      <c r="E57" s="39" t="n">
        <v>7072</v>
      </c>
      <c r="F57" s="6" t="inlineStr">
        <is>
          <t>debit</t>
        </is>
      </c>
      <c r="G57" s="6" t="inlineStr">
        <is>
          <t>balance_sheet</t>
        </is>
      </c>
    </row>
    <row r="58">
      <c r="A58" s="34" t="str"/>
      <c r="B58" s="38" t="inlineStr">
        <is>
          <t>Legal &amp; CA expenses</t>
        </is>
      </c>
      <c r="C58" s="34" t="str"/>
      <c r="D58" s="34" t="str"/>
      <c r="E58" s="35" t="n">
        <v>33489.8</v>
      </c>
      <c r="F58" s="34" t="inlineStr">
        <is>
          <t>3 txns</t>
        </is>
      </c>
      <c r="G58" s="34" t="inlineStr">
        <is>
          <t>balance_sheet</t>
        </is>
      </c>
    </row>
    <row r="59">
      <c r="A59" s="6" t="str"/>
      <c r="B59" s="6" t="str"/>
      <c r="C59" s="6" t="str"/>
      <c r="D59" s="6" t="inlineStr">
        <is>
          <t>CONSULTANCY CHARGES</t>
        </is>
      </c>
      <c r="E59" s="39" t="n">
        <v>22990.8</v>
      </c>
      <c r="F59" s="6" t="inlineStr">
        <is>
          <t>debit</t>
        </is>
      </c>
      <c r="G59" s="6" t="inlineStr">
        <is>
          <t>balance_sheet</t>
        </is>
      </c>
    </row>
    <row r="60">
      <c r="A60" s="6" t="str"/>
      <c r="B60" s="6" t="str"/>
      <c r="C60" s="6" t="str"/>
      <c r="D60" s="6" t="inlineStr">
        <is>
          <t>GEM REGISTRATION EXP.</t>
        </is>
      </c>
      <c r="E60" s="39" t="n">
        <v>2999</v>
      </c>
      <c r="F60" s="6" t="inlineStr">
        <is>
          <t>debit</t>
        </is>
      </c>
      <c r="G60" s="6" t="inlineStr">
        <is>
          <t>balance_sheet</t>
        </is>
      </c>
    </row>
    <row r="61">
      <c r="A61" s="6" t="str"/>
      <c r="B61" s="6" t="str"/>
      <c r="C61" s="6" t="str"/>
      <c r="D61" s="6" t="inlineStr">
        <is>
          <t>LEGAL &amp; PROFESSIONAL EXPENS</t>
        </is>
      </c>
      <c r="E61" s="39" t="n">
        <v>7500</v>
      </c>
      <c r="F61" s="6" t="inlineStr">
        <is>
          <t>debit</t>
        </is>
      </c>
      <c r="G61" s="6" t="inlineStr">
        <is>
          <t>balance_sheet</t>
        </is>
      </c>
    </row>
    <row r="62">
      <c r="A62" s="34" t="str"/>
      <c r="B62" s="38" t="inlineStr">
        <is>
          <t>Miscellaneous (Travel, insurance)</t>
        </is>
      </c>
      <c r="C62" s="34" t="str"/>
      <c r="D62" s="34" t="str"/>
      <c r="E62" s="35" t="n">
        <v>46356.11</v>
      </c>
      <c r="F62" s="34" t="inlineStr">
        <is>
          <t>5 txns</t>
        </is>
      </c>
      <c r="G62" s="34" t="inlineStr">
        <is>
          <t>balance_sheet</t>
        </is>
      </c>
    </row>
    <row r="63">
      <c r="A63" s="6" t="str"/>
      <c r="B63" s="6" t="str"/>
      <c r="C63" s="6" t="str"/>
      <c r="D63" s="6" t="inlineStr">
        <is>
          <t>Conveyance Expenses</t>
        </is>
      </c>
      <c r="E63" s="39" t="n">
        <v>600</v>
      </c>
      <c r="F63" s="6" t="inlineStr">
        <is>
          <t>debit</t>
        </is>
      </c>
      <c r="G63" s="6" t="inlineStr">
        <is>
          <t>balance_sheet</t>
        </is>
      </c>
    </row>
    <row r="64">
      <c r="A64" s="6" t="str"/>
      <c r="B64" s="6" t="str"/>
      <c r="C64" s="6" t="str"/>
      <c r="D64" s="6" t="inlineStr">
        <is>
          <t>Miscellaneous Expenses</t>
        </is>
      </c>
      <c r="E64" s="39" t="n">
        <v>3836.11</v>
      </c>
      <c r="F64" s="6" t="inlineStr">
        <is>
          <t>debit</t>
        </is>
      </c>
      <c r="G64" s="6" t="inlineStr">
        <is>
          <t>balance_sheet</t>
        </is>
      </c>
    </row>
    <row r="65">
      <c r="A65" s="6" t="str"/>
      <c r="B65" s="6" t="str"/>
      <c r="C65" s="6" t="str"/>
      <c r="D65" s="6" t="inlineStr">
        <is>
          <t>Tour &amp;Travelling Expenses</t>
        </is>
      </c>
      <c r="E65" s="39" t="n">
        <v>24483</v>
      </c>
      <c r="F65" s="6" t="inlineStr">
        <is>
          <t>debit</t>
        </is>
      </c>
      <c r="G65" s="6" t="inlineStr">
        <is>
          <t>balance_sheet</t>
        </is>
      </c>
    </row>
    <row r="66">
      <c r="A66" s="6" t="str"/>
      <c r="B66" s="6" t="str"/>
      <c r="C66" s="6" t="str"/>
      <c r="D66" s="6" t="inlineStr">
        <is>
          <t>Travelling Expenses</t>
        </is>
      </c>
      <c r="E66" s="39" t="n">
        <v>14745</v>
      </c>
      <c r="F66" s="6" t="inlineStr">
        <is>
          <t>debit</t>
        </is>
      </c>
      <c r="G66" s="6" t="inlineStr">
        <is>
          <t>balance_sheet</t>
        </is>
      </c>
    </row>
    <row r="67">
      <c r="A67" s="6" t="str"/>
      <c r="B67" s="6" t="str"/>
      <c r="C67" s="6" t="str"/>
      <c r="D67" s="6" t="inlineStr">
        <is>
          <t>Miscellaneous Expenses</t>
        </is>
      </c>
      <c r="E67" s="39" t="n">
        <v>2692</v>
      </c>
      <c r="F67" s="6" t="inlineStr">
        <is>
          <t>debit</t>
        </is>
      </c>
      <c r="G67" s="6" t="inlineStr">
        <is>
          <t>balance_sheet</t>
        </is>
      </c>
    </row>
    <row r="68">
      <c r="A68" s="34" t="str"/>
      <c r="B68" s="38" t="inlineStr">
        <is>
          <t>Salaries (Admin Mgmt)</t>
        </is>
      </c>
      <c r="C68" s="34" t="str"/>
      <c r="D68" s="34" t="str"/>
      <c r="E68" s="35" t="n">
        <v>307300</v>
      </c>
      <c r="F68" s="34" t="inlineStr">
        <is>
          <t>2 txns</t>
        </is>
      </c>
      <c r="G68" s="34" t="inlineStr">
        <is>
          <t>balance_sheet</t>
        </is>
      </c>
    </row>
    <row r="69">
      <c r="A69" s="6" t="str"/>
      <c r="B69" s="6" t="str"/>
      <c r="C69" s="6" t="str"/>
      <c r="D69" s="6" t="inlineStr">
        <is>
          <t>ESI EMPLOYER CONTRIBUTTION E</t>
        </is>
      </c>
      <c r="E69" s="39" t="n">
        <v>3256</v>
      </c>
      <c r="F69" s="6" t="inlineStr">
        <is>
          <t>debit</t>
        </is>
      </c>
      <c r="G69" s="6" t="inlineStr">
        <is>
          <t>balance_sheet</t>
        </is>
      </c>
    </row>
    <row r="70">
      <c r="A70" s="6" t="str"/>
      <c r="B70" s="6" t="str"/>
      <c r="C70" s="6" t="str"/>
      <c r="D70" s="6" t="inlineStr">
        <is>
          <t>Salary Expenses</t>
        </is>
      </c>
      <c r="E70" s="39" t="n">
        <v>304044</v>
      </c>
      <c r="F70" s="6" t="inlineStr">
        <is>
          <t>debit</t>
        </is>
      </c>
      <c r="G70" s="6" t="inlineStr">
        <is>
          <t>balance_sheet</t>
        </is>
      </c>
    </row>
    <row r="71">
      <c r="A71" s="34" t="str"/>
      <c r="B71" s="38" t="inlineStr">
        <is>
          <t>Staff Welfare &amp; Events</t>
        </is>
      </c>
      <c r="C71" s="34" t="str"/>
      <c r="D71" s="34" t="str"/>
      <c r="E71" s="35" t="n">
        <v>1060</v>
      </c>
      <c r="F71" s="34" t="inlineStr">
        <is>
          <t>1 txns</t>
        </is>
      </c>
      <c r="G71" s="34" t="inlineStr">
        <is>
          <t>balance_sheet</t>
        </is>
      </c>
    </row>
    <row r="72">
      <c r="A72" s="6" t="str"/>
      <c r="B72" s="6" t="str"/>
      <c r="C72" s="6" t="str"/>
      <c r="D72" s="6" t="inlineStr">
        <is>
          <t>STAFF WELFARE EXPENSES</t>
        </is>
      </c>
      <c r="E72" s="39" t="n">
        <v>1060</v>
      </c>
      <c r="F72" s="6" t="inlineStr">
        <is>
          <t>debit</t>
        </is>
      </c>
      <c r="G72" s="6" t="inlineStr">
        <is>
          <t>balance_sheet</t>
        </is>
      </c>
    </row>
    <row r="74">
      <c r="A74" s="24" t="inlineStr">
        <is>
          <t>J. Non-Operating</t>
        </is>
      </c>
      <c r="B74" s="24" t="str"/>
      <c r="C74" s="24" t="str"/>
      <c r="D74" s="24" t="str"/>
      <c r="E74" s="37" t="n">
        <v>55393</v>
      </c>
      <c r="F74" s="24" t="inlineStr">
        <is>
          <t>2 txns</t>
        </is>
      </c>
      <c r="G74" s="24" t="str"/>
    </row>
    <row r="75">
      <c r="A75" s="34" t="str"/>
      <c r="B75" s="38" t="inlineStr">
        <is>
          <t>Less: Interest Expense</t>
        </is>
      </c>
      <c r="C75" s="34" t="str"/>
      <c r="D75" s="34" t="str"/>
      <c r="E75" s="35" t="n">
        <v>55393</v>
      </c>
      <c r="F75" s="34" t="inlineStr">
        <is>
          <t>2 txns</t>
        </is>
      </c>
      <c r="G75" s="34" t="inlineStr">
        <is>
          <t>balance_sheet</t>
        </is>
      </c>
    </row>
    <row r="76">
      <c r="A76" s="6" t="str"/>
      <c r="B76" s="6" t="str"/>
      <c r="C76" s="6" t="str"/>
      <c r="D76" s="6" t="inlineStr">
        <is>
          <t>INTEREST ON CAR LOAN EXPENS</t>
        </is>
      </c>
      <c r="E76" s="39" t="n">
        <v>20425</v>
      </c>
      <c r="F76" s="6" t="inlineStr">
        <is>
          <t>debit</t>
        </is>
      </c>
      <c r="G76" s="6" t="inlineStr">
        <is>
          <t>balance_sheet</t>
        </is>
      </c>
    </row>
    <row r="77">
      <c r="A77" s="6" t="str"/>
      <c r="B77" s="6" t="str"/>
      <c r="C77" s="6" t="str"/>
      <c r="D77" s="6" t="inlineStr">
        <is>
          <t>INTEREST ON OD LIMIT</t>
        </is>
      </c>
      <c r="E77" s="39" t="n">
        <v>34968</v>
      </c>
      <c r="F77" s="6" t="inlineStr">
        <is>
          <t>debit</t>
        </is>
      </c>
      <c r="G77" s="6" t="inlineStr">
        <is>
          <t>balance_sheet</t>
        </is>
      </c>
    </row>
  </sheetData>
  <mergeCells count="1">
    <mergeCell ref="A1:G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cols>
    <col width="25.83203125" customWidth="1" style="2" min="1" max="1"/>
    <col width="30.83203125" customWidth="1" style="2" min="2" max="2"/>
    <col width="12.83203125" customWidth="1" style="2" min="3" max="3"/>
    <col width="45.83203125" customWidth="1" style="2" min="4" max="4"/>
    <col width="15.83203125" customWidth="1" style="2" min="5" max="5"/>
    <col width="10.83203125" customWidth="1" style="2" min="6" max="6"/>
    <col width="15.83203125" customWidth="1" style="2" min="7" max="7"/>
  </cols>
  <sheetData>
    <row r="1">
      <c r="A1" s="40" t="inlineStr">
        <is>
          <t>Jan 2025 - TRANSACTION DETAILS</t>
        </is>
      </c>
    </row>
    <row r="3">
      <c r="A3" s="5" t="inlineStr">
        <is>
          <t>Head</t>
        </is>
      </c>
      <c r="B3" s="5" t="inlineStr">
        <is>
          <t>Subhead</t>
        </is>
      </c>
      <c r="C3" s="5" t="inlineStr">
        <is>
          <t>Date</t>
        </is>
      </c>
      <c r="D3" s="5" t="inlineStr">
        <is>
          <t>Account</t>
        </is>
      </c>
      <c r="E3" s="5" t="inlineStr">
        <is>
          <t>Amount (₹)</t>
        </is>
      </c>
      <c r="F3" s="5" t="inlineStr">
        <is>
          <t>Type</t>
        </is>
      </c>
      <c r="G3" s="5" t="inlineStr">
        <is>
          <t>Source</t>
        </is>
      </c>
    </row>
    <row r="4">
      <c r="A4" s="24" t="inlineStr">
        <is>
          <t>E. COGM</t>
        </is>
      </c>
      <c r="B4" s="24" t="str"/>
      <c r="C4" s="24" t="str"/>
      <c r="D4" s="24" t="str"/>
      <c r="E4" s="37" t="n">
        <v>213409.29</v>
      </c>
      <c r="F4" s="24" t="inlineStr">
        <is>
          <t>6 txns</t>
        </is>
      </c>
      <c r="G4" s="24" t="str"/>
    </row>
    <row r="5">
      <c r="A5" s="34" t="str"/>
      <c r="B5" s="38" t="inlineStr">
        <is>
          <t>Raw Materials &amp; Inventory</t>
        </is>
      </c>
      <c r="C5" s="34" t="str"/>
      <c r="D5" s="34" t="str"/>
      <c r="E5" s="35" t="n">
        <v>1547267.34</v>
      </c>
      <c r="F5" s="34" t="inlineStr">
        <is>
          <t>1 txns</t>
        </is>
      </c>
      <c r="G5" s="34" t="inlineStr">
        <is>
          <t>calculated</t>
        </is>
      </c>
    </row>
    <row r="6">
      <c r="A6" s="6" t="str"/>
      <c r="B6" s="6" t="str"/>
      <c r="C6" s="6" t="str"/>
      <c r="D6" s="6" t="inlineStr">
        <is>
          <t>Raw Materials (Prorated by Revenue)</t>
        </is>
      </c>
      <c r="E6" s="39" t="n">
        <v>1547267.34</v>
      </c>
      <c r="F6" s="6" t="inlineStr">
        <is>
          <t>debit</t>
        </is>
      </c>
      <c r="G6" s="6" t="inlineStr">
        <is>
          <t>calculated</t>
        </is>
      </c>
    </row>
    <row r="7">
      <c r="A7" s="34" t="str"/>
      <c r="B7" s="38" t="inlineStr">
        <is>
          <t>Factory Maintenance</t>
        </is>
      </c>
      <c r="C7" s="34" t="str"/>
      <c r="D7" s="34" t="str"/>
      <c r="E7" s="35" t="n">
        <v>30130</v>
      </c>
      <c r="F7" s="34" t="inlineStr">
        <is>
          <t>2 txns</t>
        </is>
      </c>
      <c r="G7" s="34" t="inlineStr">
        <is>
          <t>balance_sheet</t>
        </is>
      </c>
    </row>
    <row r="8">
      <c r="A8" s="6" t="str"/>
      <c r="B8" s="6" t="str"/>
      <c r="C8" s="6" t="str"/>
      <c r="D8" s="6" t="inlineStr">
        <is>
          <t>Electricity &amp; Water Expenses</t>
        </is>
      </c>
      <c r="E8" s="39" t="n">
        <v>11130</v>
      </c>
      <c r="F8" s="6" t="inlineStr">
        <is>
          <t>debit</t>
        </is>
      </c>
      <c r="G8" s="6" t="inlineStr">
        <is>
          <t>balance_sheet</t>
        </is>
      </c>
    </row>
    <row r="9">
      <c r="A9" s="6" t="str"/>
      <c r="B9" s="6" t="str"/>
      <c r="C9" s="6" t="str"/>
      <c r="D9" s="6" t="inlineStr">
        <is>
          <t>POWER BACKUP &amp; MAITENANCE (D</t>
        </is>
      </c>
      <c r="E9" s="39" t="n">
        <v>19000</v>
      </c>
      <c r="F9" s="6" t="inlineStr">
        <is>
          <t>debit</t>
        </is>
      </c>
      <c r="G9" s="6" t="inlineStr">
        <is>
          <t>balance_sheet</t>
        </is>
      </c>
    </row>
    <row r="10">
      <c r="A10" s="34" t="str"/>
      <c r="B10" s="38" t="inlineStr">
        <is>
          <t>Inbound Transport</t>
        </is>
      </c>
      <c r="C10" s="34" t="str"/>
      <c r="D10" s="34" t="str"/>
      <c r="E10" s="35" t="n">
        <v>9519.690000000001</v>
      </c>
      <c r="F10" s="34" t="inlineStr">
        <is>
          <t>2 txns</t>
        </is>
      </c>
      <c r="G10" s="34" t="inlineStr">
        <is>
          <t>balance_sheet</t>
        </is>
      </c>
    </row>
    <row r="11">
      <c r="A11" s="6" t="str"/>
      <c r="B11" s="6" t="str"/>
      <c r="C11" s="6" t="str"/>
      <c r="D11" s="6" t="inlineStr">
        <is>
          <t>FREIGHT CHARES @%</t>
        </is>
      </c>
      <c r="E11" s="39" t="n">
        <v>1600</v>
      </c>
      <c r="F11" s="6" t="inlineStr">
        <is>
          <t>debit</t>
        </is>
      </c>
      <c r="G11" s="6" t="inlineStr">
        <is>
          <t>balance_sheet</t>
        </is>
      </c>
    </row>
    <row r="12">
      <c r="A12" s="6" t="str"/>
      <c r="B12" s="6" t="str"/>
      <c r="C12" s="6" t="str"/>
      <c r="D12" s="6" t="inlineStr">
        <is>
          <t>FREIGHT CHARGES@%</t>
        </is>
      </c>
      <c r="E12" s="39" t="n">
        <v>7919.69</v>
      </c>
      <c r="F12" s="6" t="inlineStr">
        <is>
          <t>debit</t>
        </is>
      </c>
      <c r="G12" s="6" t="inlineStr">
        <is>
          <t>balance_sheet</t>
        </is>
      </c>
    </row>
    <row r="13">
      <c r="A13" s="34" t="str"/>
      <c r="B13" s="38" t="inlineStr">
        <is>
          <t>Job work</t>
        </is>
      </c>
      <c r="C13" s="34" t="str"/>
      <c r="D13" s="34" t="str"/>
      <c r="E13" s="35" t="n">
        <v>143759.6</v>
      </c>
      <c r="F13" s="34" t="inlineStr">
        <is>
          <t>1 txns</t>
        </is>
      </c>
      <c r="G13" s="34" t="inlineStr">
        <is>
          <t>balance_sheet</t>
        </is>
      </c>
    </row>
    <row r="14">
      <c r="A14" s="6" t="str"/>
      <c r="B14" s="6" t="str"/>
      <c r="C14" s="6" t="str"/>
      <c r="D14" s="6" t="inlineStr">
        <is>
          <t>JOB WORK @%</t>
        </is>
      </c>
      <c r="E14" s="39" t="n">
        <v>143759.6</v>
      </c>
      <c r="F14" s="6" t="inlineStr">
        <is>
          <t>debit</t>
        </is>
      </c>
      <c r="G14" s="6" t="inlineStr">
        <is>
          <t>balance_sheet</t>
        </is>
      </c>
    </row>
    <row r="15">
      <c r="A15" s="34" t="str"/>
      <c r="B15" s="38" t="inlineStr">
        <is>
          <t>Manufacturing Wages</t>
        </is>
      </c>
      <c r="C15" s="34" t="str"/>
      <c r="D15" s="34" t="str"/>
      <c r="E15" s="35" t="n">
        <v>30000</v>
      </c>
      <c r="F15" s="34" t="inlineStr">
        <is>
          <t>1 txns</t>
        </is>
      </c>
      <c r="G15" s="34" t="inlineStr">
        <is>
          <t>balance_sheet</t>
        </is>
      </c>
    </row>
    <row r="16">
      <c r="A16" s="6" t="str"/>
      <c r="B16" s="6" t="str"/>
      <c r="C16" s="6" t="str"/>
      <c r="D16" s="6" t="inlineStr">
        <is>
          <t>LABOUR &amp; WAGES EXPENSES</t>
        </is>
      </c>
      <c r="E16" s="39" t="n">
        <v>30000</v>
      </c>
      <c r="F16" s="6" t="inlineStr">
        <is>
          <t>debit</t>
        </is>
      </c>
      <c r="G16" s="6" t="inlineStr">
        <is>
          <t>balance_sheet</t>
        </is>
      </c>
    </row>
    <row r="18">
      <c r="A18" s="24" t="inlineStr">
        <is>
          <t>F. Channel &amp; Fulfillment</t>
        </is>
      </c>
      <c r="B18" s="24" t="str"/>
      <c r="C18" s="24" t="str"/>
      <c r="D18" s="24" t="str"/>
      <c r="E18" s="37" t="n">
        <v>868659.6899999999</v>
      </c>
      <c r="F18" s="24" t="inlineStr">
        <is>
          <t>7 txns</t>
        </is>
      </c>
      <c r="G18" s="24" t="str"/>
    </row>
    <row r="19">
      <c r="A19" s="34" t="str"/>
      <c r="B19" s="38" t="inlineStr">
        <is>
          <t>Amazon Fees</t>
        </is>
      </c>
      <c r="C19" s="34" t="str"/>
      <c r="D19" s="34" t="str"/>
      <c r="E19" s="35" t="n">
        <v>825339.02</v>
      </c>
      <c r="F19" s="34" t="inlineStr">
        <is>
          <t>3 txns</t>
        </is>
      </c>
      <c r="G19" s="34" t="inlineStr">
        <is>
          <t>balance_sheet</t>
        </is>
      </c>
    </row>
    <row r="20">
      <c r="A20" s="6" t="str"/>
      <c r="B20" s="6" t="str"/>
      <c r="C20" s="6" t="str"/>
      <c r="D20" s="6" t="inlineStr">
        <is>
          <t>AMAZON LOGISTICS EXP.</t>
        </is>
      </c>
      <c r="E20" s="39" t="n">
        <v>716624.34</v>
      </c>
      <c r="F20" s="6" t="inlineStr">
        <is>
          <t>debit</t>
        </is>
      </c>
      <c r="G20" s="6" t="inlineStr">
        <is>
          <t>balance_sheet</t>
        </is>
      </c>
    </row>
    <row r="21">
      <c r="A21" s="6" t="str"/>
      <c r="B21" s="6" t="str"/>
      <c r="C21" s="6" t="str"/>
      <c r="D21" s="6" t="inlineStr">
        <is>
          <t>AMAZON LOGISTICS EXP.</t>
        </is>
      </c>
      <c r="E21" s="39" t="n">
        <v>18132.81</v>
      </c>
      <c r="F21" s="6" t="inlineStr">
        <is>
          <t>debit</t>
        </is>
      </c>
      <c r="G21" s="6" t="inlineStr">
        <is>
          <t>balance_sheet</t>
        </is>
      </c>
    </row>
    <row r="22">
      <c r="A22" s="6" t="str"/>
      <c r="B22" s="6" t="str"/>
      <c r="C22" s="6" t="str"/>
      <c r="D22" s="6" t="inlineStr">
        <is>
          <t>AMAZON LOGISCTICS EXP.</t>
        </is>
      </c>
      <c r="E22" s="39" t="n">
        <v>90581.87</v>
      </c>
      <c r="F22" s="6" t="inlineStr">
        <is>
          <t>debit</t>
        </is>
      </c>
      <c r="G22" s="6" t="inlineStr">
        <is>
          <t>balance_sheet</t>
        </is>
      </c>
    </row>
    <row r="23">
      <c r="A23" s="34" t="str"/>
      <c r="B23" s="38" t="inlineStr">
        <is>
          <t>D2C Fees</t>
        </is>
      </c>
      <c r="C23" s="34" t="str"/>
      <c r="D23" s="34" t="str"/>
      <c r="E23" s="35" t="n">
        <v>43320.67</v>
      </c>
      <c r="F23" s="34" t="inlineStr">
        <is>
          <t>4 txns</t>
        </is>
      </c>
      <c r="G23" s="34" t="inlineStr">
        <is>
          <t>balance_sheet</t>
        </is>
      </c>
    </row>
    <row r="24">
      <c r="A24" s="6" t="str"/>
      <c r="B24" s="6" t="str"/>
      <c r="C24" s="6" t="str"/>
      <c r="D24" s="6" t="inlineStr">
        <is>
          <t>COURIER &amp; POSTAGE EXPENSE</t>
        </is>
      </c>
      <c r="E24" s="39" t="n">
        <v>12868.67</v>
      </c>
      <c r="F24" s="6" t="inlineStr">
        <is>
          <t>debit</t>
        </is>
      </c>
      <c r="G24" s="6" t="inlineStr">
        <is>
          <t>balance_sheet</t>
        </is>
      </c>
    </row>
    <row r="25">
      <c r="A25" s="6" t="str"/>
      <c r="B25" s="6" t="str"/>
      <c r="C25" s="6" t="str"/>
      <c r="D25" s="6" t="inlineStr">
        <is>
          <t>Freight &amp; Forwarding Charges</t>
        </is>
      </c>
      <c r="E25" s="39" t="n">
        <v>-580</v>
      </c>
      <c r="F25" s="6" t="inlineStr">
        <is>
          <t>debit</t>
        </is>
      </c>
      <c r="G25" s="6" t="inlineStr">
        <is>
          <t>balance_sheet</t>
        </is>
      </c>
    </row>
    <row r="26">
      <c r="A26" s="6" t="str"/>
      <c r="B26" s="6" t="str"/>
      <c r="C26" s="6" t="str"/>
      <c r="D26" s="6" t="inlineStr">
        <is>
          <t>FREIGHT CHARGE@%</t>
        </is>
      </c>
      <c r="E26" s="39" t="n">
        <v>10337</v>
      </c>
      <c r="F26" s="6" t="inlineStr">
        <is>
          <t>debit</t>
        </is>
      </c>
      <c r="G26" s="6" t="inlineStr">
        <is>
          <t>balance_sheet</t>
        </is>
      </c>
    </row>
    <row r="27">
      <c r="A27" s="6" t="str"/>
      <c r="B27" s="6" t="str"/>
      <c r="C27" s="6" t="str"/>
      <c r="D27" s="6" t="inlineStr">
        <is>
          <t>PORTER DAILY EXP.</t>
        </is>
      </c>
      <c r="E27" s="39" t="n">
        <v>20695</v>
      </c>
      <c r="F27" s="6" t="inlineStr">
        <is>
          <t>debit</t>
        </is>
      </c>
      <c r="G27" s="6" t="inlineStr">
        <is>
          <t>balance_sheet</t>
        </is>
      </c>
    </row>
    <row r="29">
      <c r="A29" s="24" t="inlineStr">
        <is>
          <t>G. Sales &amp; Marketing</t>
        </is>
      </c>
      <c r="B29" s="24" t="str"/>
      <c r="C29" s="24" t="str"/>
      <c r="D29" s="24" t="str"/>
      <c r="E29" s="37" t="n">
        <v>1471299.14</v>
      </c>
      <c r="F29" s="24" t="inlineStr">
        <is>
          <t>1 txns</t>
        </is>
      </c>
      <c r="G29" s="24" t="str"/>
    </row>
    <row r="30">
      <c r="A30" s="34" t="str"/>
      <c r="B30" s="38" t="inlineStr">
        <is>
          <t>Advertising &amp; Marketing</t>
        </is>
      </c>
      <c r="C30" s="34" t="str"/>
      <c r="D30" s="34" t="str"/>
      <c r="E30" s="35" t="n">
        <v>1471299.14</v>
      </c>
      <c r="F30" s="34" t="inlineStr">
        <is>
          <t>1 txns</t>
        </is>
      </c>
      <c r="G30" s="34" t="inlineStr">
        <is>
          <t>balance_sheet</t>
        </is>
      </c>
    </row>
    <row r="31">
      <c r="A31" s="6" t="str"/>
      <c r="B31" s="6" t="str"/>
      <c r="C31" s="6" t="str"/>
      <c r="D31" s="6" t="inlineStr">
        <is>
          <t>Advertisement &amp; Publicity</t>
        </is>
      </c>
      <c r="E31" s="39" t="n">
        <v>1471299.14</v>
      </c>
      <c r="F31" s="6" t="inlineStr">
        <is>
          <t>debit</t>
        </is>
      </c>
      <c r="G31" s="6" t="inlineStr">
        <is>
          <t>balance_sheet</t>
        </is>
      </c>
    </row>
    <row r="33">
      <c r="A33" s="24" t="inlineStr">
        <is>
          <t>H. Platform Costs</t>
        </is>
      </c>
      <c r="B33" s="24" t="str"/>
      <c r="C33" s="24" t="str"/>
      <c r="D33" s="24" t="str"/>
      <c r="E33" s="37" t="n">
        <v>1342.01</v>
      </c>
      <c r="F33" s="24" t="inlineStr">
        <is>
          <t>1 txns</t>
        </is>
      </c>
      <c r="G33" s="24" t="str"/>
    </row>
    <row r="34">
      <c r="A34" s="34" t="str"/>
      <c r="B34" s="38" t="inlineStr">
        <is>
          <t>Shopify Subscription</t>
        </is>
      </c>
      <c r="C34" s="34" t="str"/>
      <c r="D34" s="34" t="str"/>
      <c r="E34" s="35" t="n">
        <v>1342.01</v>
      </c>
      <c r="F34" s="34" t="inlineStr">
        <is>
          <t>1 txns</t>
        </is>
      </c>
      <c r="G34" s="34" t="inlineStr">
        <is>
          <t>balance_sheet</t>
        </is>
      </c>
    </row>
    <row r="35">
      <c r="A35" s="6" t="str"/>
      <c r="B35" s="6" t="str"/>
      <c r="C35" s="6" t="str"/>
      <c r="D35" s="6" t="inlineStr">
        <is>
          <t>PLATFORM FEE</t>
        </is>
      </c>
      <c r="E35" s="39" t="n">
        <v>1342.01</v>
      </c>
      <c r="F35" s="6" t="inlineStr">
        <is>
          <t>debit</t>
        </is>
      </c>
      <c r="G35" s="6" t="inlineStr">
        <is>
          <t>balance_sheet</t>
        </is>
      </c>
    </row>
    <row r="37">
      <c r="A37" s="24" t="inlineStr">
        <is>
          <t>I. Operating Expenses</t>
        </is>
      </c>
      <c r="B37" s="24" t="str"/>
      <c r="C37" s="24" t="str"/>
      <c r="D37" s="24" t="str"/>
      <c r="E37" s="37" t="n">
        <v>626700.09</v>
      </c>
      <c r="F37" s="24" t="inlineStr">
        <is>
          <t>28 txns</t>
        </is>
      </c>
      <c r="G37" s="24" t="str"/>
    </row>
    <row r="38">
      <c r="A38" s="34" t="str"/>
      <c r="B38" s="38" t="inlineStr">
        <is>
          <t>Other Operating Expenses</t>
        </is>
      </c>
      <c r="C38" s="34" t="str"/>
      <c r="D38" s="34" t="str"/>
      <c r="E38" s="35" t="n">
        <v>19910.62</v>
      </c>
      <c r="F38" s="34" t="inlineStr">
        <is>
          <t>6 txns</t>
        </is>
      </c>
      <c r="G38" s="34" t="inlineStr">
        <is>
          <t>balance_sheet</t>
        </is>
      </c>
    </row>
    <row r="39">
      <c r="A39" s="6" t="str"/>
      <c r="B39" s="6" t="str"/>
      <c r="C39" s="6" t="str"/>
      <c r="D39" s="6" t="inlineStr">
        <is>
          <t>AVANISH KUMAR (EXP. A/C)</t>
        </is>
      </c>
      <c r="E39" s="39" t="n">
        <v>-5136</v>
      </c>
      <c r="F39" s="6" t="inlineStr">
        <is>
          <t>debit</t>
        </is>
      </c>
      <c r="G39" s="6" t="inlineStr">
        <is>
          <t>balance_sheet</t>
        </is>
      </c>
    </row>
    <row r="40">
      <c r="A40" s="6" t="str"/>
      <c r="B40" s="6" t="str"/>
      <c r="C40" s="6" t="str"/>
      <c r="D40" s="6" t="inlineStr">
        <is>
          <t>LAB TESTING CHARGES</t>
        </is>
      </c>
      <c r="E40" s="39" t="n">
        <v>1350</v>
      </c>
      <c r="F40" s="6" t="inlineStr">
        <is>
          <t>debit</t>
        </is>
      </c>
      <c r="G40" s="6" t="inlineStr">
        <is>
          <t>balance_sheet</t>
        </is>
      </c>
    </row>
    <row r="41">
      <c r="A41" s="6" t="str"/>
      <c r="B41" s="6" t="str"/>
      <c r="C41" s="6" t="str"/>
      <c r="D41" s="6" t="inlineStr">
        <is>
          <t>PRABHASH EXP. A/C</t>
        </is>
      </c>
      <c r="E41" s="39" t="n">
        <v>270</v>
      </c>
      <c r="F41" s="6" t="inlineStr">
        <is>
          <t>debit</t>
        </is>
      </c>
      <c r="G41" s="6" t="inlineStr">
        <is>
          <t>balance_sheet</t>
        </is>
      </c>
    </row>
    <row r="42">
      <c r="A42" s="6" t="str"/>
      <c r="B42" s="6" t="str"/>
      <c r="C42" s="6" t="str"/>
      <c r="D42" s="6" t="inlineStr">
        <is>
          <t>PRIOR PERIOD EXP.</t>
        </is>
      </c>
      <c r="E42" s="39" t="n">
        <v>99.91</v>
      </c>
      <c r="F42" s="6" t="inlineStr">
        <is>
          <t>debit</t>
        </is>
      </c>
      <c r="G42" s="6" t="inlineStr">
        <is>
          <t>balance_sheet</t>
        </is>
      </c>
    </row>
    <row r="43">
      <c r="A43" s="6" t="str"/>
      <c r="B43" s="6" t="str"/>
      <c r="C43" s="6" t="str"/>
      <c r="D43" s="6" t="inlineStr">
        <is>
          <t>Rounded Off</t>
        </is>
      </c>
      <c r="E43" s="39" t="n">
        <v>-1.29</v>
      </c>
      <c r="F43" s="6" t="inlineStr">
        <is>
          <t>debit</t>
        </is>
      </c>
      <c r="G43" s="6" t="inlineStr">
        <is>
          <t>balance_sheet</t>
        </is>
      </c>
    </row>
    <row r="44">
      <c r="A44" s="6" t="str"/>
      <c r="B44" s="6" t="str"/>
      <c r="C44" s="6" t="str"/>
      <c r="D44" s="6" t="inlineStr">
        <is>
          <t>TRANSPOTATION EXPENSES</t>
        </is>
      </c>
      <c r="E44" s="39" t="n">
        <v>23328</v>
      </c>
      <c r="F44" s="6" t="inlineStr">
        <is>
          <t>debit</t>
        </is>
      </c>
      <c r="G44" s="6" t="inlineStr">
        <is>
          <t>balance_sheet</t>
        </is>
      </c>
    </row>
    <row r="45">
      <c r="A45" s="34" t="str"/>
      <c r="B45" s="38" t="inlineStr">
        <is>
          <t>Banks &amp; Finance Charges</t>
        </is>
      </c>
      <c r="C45" s="34" t="str"/>
      <c r="D45" s="34" t="str"/>
      <c r="E45" s="35" t="n">
        <v>35433.59</v>
      </c>
      <c r="F45" s="34" t="inlineStr">
        <is>
          <t>2 txns</t>
        </is>
      </c>
      <c r="G45" s="34" t="inlineStr">
        <is>
          <t>balance_sheet</t>
        </is>
      </c>
    </row>
    <row r="46">
      <c r="A46" s="6" t="str"/>
      <c r="B46" s="6" t="str"/>
      <c r="C46" s="6" t="str"/>
      <c r="D46" s="6" t="inlineStr">
        <is>
          <t>Bank Charges@%</t>
        </is>
      </c>
      <c r="E46" s="39" t="n">
        <v>33175.59</v>
      </c>
      <c r="F46" s="6" t="inlineStr">
        <is>
          <t>debit</t>
        </is>
      </c>
      <c r="G46" s="6" t="inlineStr">
        <is>
          <t>balance_sheet</t>
        </is>
      </c>
    </row>
    <row r="47">
      <c r="A47" s="6" t="str"/>
      <c r="B47" s="6" t="str"/>
      <c r="C47" s="6" t="str"/>
      <c r="D47" s="6" t="inlineStr">
        <is>
          <t>PROCESSING FEE</t>
        </is>
      </c>
      <c r="E47" s="39" t="n">
        <v>2258</v>
      </c>
      <c r="F47" s="6" t="inlineStr">
        <is>
          <t>debit</t>
        </is>
      </c>
      <c r="G47" s="6" t="inlineStr">
        <is>
          <t>balance_sheet</t>
        </is>
      </c>
    </row>
    <row r="48">
      <c r="A48" s="34" t="str"/>
      <c r="B48" s="38" t="inlineStr">
        <is>
          <t>Miscellaneous (Travel, insurance)</t>
        </is>
      </c>
      <c r="C48" s="34" t="str"/>
      <c r="D48" s="34" t="str"/>
      <c r="E48" s="35" t="n">
        <v>50186</v>
      </c>
      <c r="F48" s="34" t="inlineStr">
        <is>
          <t>4 txns</t>
        </is>
      </c>
      <c r="G48" s="34" t="inlineStr">
        <is>
          <t>balance_sheet</t>
        </is>
      </c>
    </row>
    <row r="49">
      <c r="A49" s="6" t="str"/>
      <c r="B49" s="6" t="str"/>
      <c r="C49" s="6" t="str"/>
      <c r="D49" s="6" t="inlineStr">
        <is>
          <t>CONVEYANCE &amp; AUTO CHARGE</t>
        </is>
      </c>
      <c r="E49" s="39" t="n">
        <v>150</v>
      </c>
      <c r="F49" s="6" t="inlineStr">
        <is>
          <t>debit</t>
        </is>
      </c>
      <c r="G49" s="6" t="inlineStr">
        <is>
          <t>balance_sheet</t>
        </is>
      </c>
    </row>
    <row r="50">
      <c r="A50" s="6" t="str"/>
      <c r="B50" s="6" t="str"/>
      <c r="C50" s="6" t="str"/>
      <c r="D50" s="6" t="inlineStr">
        <is>
          <t>INSURANCE EXPENSES@%</t>
        </is>
      </c>
      <c r="E50" s="39" t="n">
        <v>23166</v>
      </c>
      <c r="F50" s="6" t="inlineStr">
        <is>
          <t>debit</t>
        </is>
      </c>
      <c r="G50" s="6" t="inlineStr">
        <is>
          <t>balance_sheet</t>
        </is>
      </c>
    </row>
    <row r="51">
      <c r="A51" s="6" t="str"/>
      <c r="B51" s="6" t="str"/>
      <c r="C51" s="6" t="str"/>
      <c r="D51" s="6" t="inlineStr">
        <is>
          <t>Miscellaneous Expenses</t>
        </is>
      </c>
      <c r="E51" s="39" t="n">
        <v>1515</v>
      </c>
      <c r="F51" s="6" t="inlineStr">
        <is>
          <t>debit</t>
        </is>
      </c>
      <c r="G51" s="6" t="inlineStr">
        <is>
          <t>balance_sheet</t>
        </is>
      </c>
    </row>
    <row r="52">
      <c r="A52" s="6" t="str"/>
      <c r="B52" s="6" t="str"/>
      <c r="C52" s="6" t="str"/>
      <c r="D52" s="6" t="inlineStr">
        <is>
          <t>Travelling Expenses</t>
        </is>
      </c>
      <c r="E52" s="39" t="n">
        <v>25355</v>
      </c>
      <c r="F52" s="6" t="inlineStr">
        <is>
          <t>debit</t>
        </is>
      </c>
      <c r="G52" s="6" t="inlineStr">
        <is>
          <t>balance_sheet</t>
        </is>
      </c>
    </row>
    <row r="53">
      <c r="A53" s="34" t="str"/>
      <c r="B53" s="38" t="inlineStr">
        <is>
          <t>Salaries (Admin Mgmt)</t>
        </is>
      </c>
      <c r="C53" s="34" t="str"/>
      <c r="D53" s="34" t="str"/>
      <c r="E53" s="35" t="n">
        <v>333223</v>
      </c>
      <c r="F53" s="34" t="inlineStr">
        <is>
          <t>2 txns</t>
        </is>
      </c>
      <c r="G53" s="34" t="inlineStr">
        <is>
          <t>balance_sheet</t>
        </is>
      </c>
    </row>
    <row r="54">
      <c r="A54" s="6" t="str"/>
      <c r="B54" s="6" t="str"/>
      <c r="C54" s="6" t="str"/>
      <c r="D54" s="6" t="inlineStr">
        <is>
          <t>ESI EMPLOYER CONTRIBUTTION E</t>
        </is>
      </c>
      <c r="E54" s="39" t="n">
        <v>4054</v>
      </c>
      <c r="F54" s="6" t="inlineStr">
        <is>
          <t>debit</t>
        </is>
      </c>
      <c r="G54" s="6" t="inlineStr">
        <is>
          <t>balance_sheet</t>
        </is>
      </c>
    </row>
    <row r="55">
      <c r="A55" s="6" t="str"/>
      <c r="B55" s="6" t="str"/>
      <c r="C55" s="6" t="str"/>
      <c r="D55" s="6" t="inlineStr">
        <is>
          <t>Salary Expenses</t>
        </is>
      </c>
      <c r="E55" s="39" t="n">
        <v>329169</v>
      </c>
      <c r="F55" s="6" t="inlineStr">
        <is>
          <t>debit</t>
        </is>
      </c>
      <c r="G55" s="6" t="inlineStr">
        <is>
          <t>balance_sheet</t>
        </is>
      </c>
    </row>
    <row r="56">
      <c r="A56" s="34" t="str"/>
      <c r="B56" s="38" t="inlineStr">
        <is>
          <t>Legal &amp; CA expenses</t>
        </is>
      </c>
      <c r="C56" s="34" t="str"/>
      <c r="D56" s="34" t="str"/>
      <c r="E56" s="35" t="n">
        <v>7500</v>
      </c>
      <c r="F56" s="34" t="inlineStr">
        <is>
          <t>1 txns</t>
        </is>
      </c>
      <c r="G56" s="34" t="inlineStr">
        <is>
          <t>balance_sheet</t>
        </is>
      </c>
    </row>
    <row r="57">
      <c r="A57" s="6" t="str"/>
      <c r="B57" s="6" t="str"/>
      <c r="C57" s="6" t="str"/>
      <c r="D57" s="6" t="inlineStr">
        <is>
          <t>LEGAL &amp; PROFESSIONAL EXPENS</t>
        </is>
      </c>
      <c r="E57" s="39" t="n">
        <v>7500</v>
      </c>
      <c r="F57" s="6" t="inlineStr">
        <is>
          <t>debit</t>
        </is>
      </c>
      <c r="G57" s="6" t="inlineStr">
        <is>
          <t>balance_sheet</t>
        </is>
      </c>
    </row>
    <row r="58">
      <c r="A58" s="34" t="str"/>
      <c r="B58" s="38" t="inlineStr">
        <is>
          <t>Administrative Expenses</t>
        </is>
      </c>
      <c r="C58" s="34" t="str"/>
      <c r="D58" s="34" t="str"/>
      <c r="E58" s="35" t="n">
        <v>176404.88</v>
      </c>
      <c r="F58" s="34" t="inlineStr">
        <is>
          <t>11 txns</t>
        </is>
      </c>
      <c r="G58" s="34" t="inlineStr">
        <is>
          <t>balance_sheet</t>
        </is>
      </c>
    </row>
    <row r="59">
      <c r="A59" s="6" t="str"/>
      <c r="B59" s="6" t="str"/>
      <c r="C59" s="6" t="str"/>
      <c r="D59" s="6" t="inlineStr">
        <is>
          <t>OFFICE EXPENSES</t>
        </is>
      </c>
      <c r="E59" s="39" t="n">
        <v>300</v>
      </c>
      <c r="F59" s="6" t="inlineStr">
        <is>
          <t>debit</t>
        </is>
      </c>
      <c r="G59" s="6" t="inlineStr">
        <is>
          <t>balance_sheet</t>
        </is>
      </c>
    </row>
    <row r="60">
      <c r="A60" s="6" t="str"/>
      <c r="B60" s="6" t="str"/>
      <c r="C60" s="6" t="str"/>
      <c r="D60" s="6" t="inlineStr">
        <is>
          <t>OFFICE EXPENSES @ %</t>
        </is>
      </c>
      <c r="E60" s="39" t="n">
        <v>70</v>
      </c>
      <c r="F60" s="6" t="inlineStr">
        <is>
          <t>debit</t>
        </is>
      </c>
      <c r="G60" s="6" t="inlineStr">
        <is>
          <t>balance_sheet</t>
        </is>
      </c>
    </row>
    <row r="61">
      <c r="A61" s="6" t="str"/>
      <c r="B61" s="6" t="str"/>
      <c r="C61" s="6" t="str"/>
      <c r="D61" s="6" t="inlineStr">
        <is>
          <t>OFFICE EXPENSES @ %</t>
        </is>
      </c>
      <c r="E61" s="39" t="n">
        <v>2742</v>
      </c>
      <c r="F61" s="6" t="inlineStr">
        <is>
          <t>debit</t>
        </is>
      </c>
      <c r="G61" s="6" t="inlineStr">
        <is>
          <t>balance_sheet</t>
        </is>
      </c>
    </row>
    <row r="62">
      <c r="A62" s="6" t="str"/>
      <c r="B62" s="6" t="str"/>
      <c r="C62" s="6" t="str"/>
      <c r="D62" s="6" t="inlineStr">
        <is>
          <t>OFFICE EXPENSES @ %</t>
        </is>
      </c>
      <c r="E62" s="39" t="n">
        <v>90</v>
      </c>
      <c r="F62" s="6" t="inlineStr">
        <is>
          <t>debit</t>
        </is>
      </c>
      <c r="G62" s="6" t="inlineStr">
        <is>
          <t>balance_sheet</t>
        </is>
      </c>
    </row>
    <row r="63">
      <c r="A63" s="6" t="str"/>
      <c r="B63" s="6" t="str"/>
      <c r="C63" s="6" t="str"/>
      <c r="D63" s="6" t="inlineStr">
        <is>
          <t>Office Rent</t>
        </is>
      </c>
      <c r="E63" s="39" t="n">
        <v>144453.13</v>
      </c>
      <c r="F63" s="6" t="inlineStr">
        <is>
          <t>debit</t>
        </is>
      </c>
      <c r="G63" s="6" t="inlineStr">
        <is>
          <t>balance_sheet</t>
        </is>
      </c>
    </row>
    <row r="64">
      <c r="A64" s="6" t="str"/>
      <c r="B64" s="6" t="str"/>
      <c r="C64" s="6" t="str"/>
      <c r="D64" s="6" t="inlineStr">
        <is>
          <t>Printing &amp; Stationery@%</t>
        </is>
      </c>
      <c r="E64" s="39" t="n">
        <v>2810</v>
      </c>
      <c r="F64" s="6" t="inlineStr">
        <is>
          <t>debit</t>
        </is>
      </c>
      <c r="G64" s="6" t="inlineStr">
        <is>
          <t>balance_sheet</t>
        </is>
      </c>
    </row>
    <row r="65">
      <c r="A65" s="6" t="str"/>
      <c r="B65" s="6" t="str"/>
      <c r="C65" s="6" t="str"/>
      <c r="D65" s="6" t="inlineStr">
        <is>
          <t>PRINTING STATIONERY EXPENSES</t>
        </is>
      </c>
      <c r="E65" s="39" t="n">
        <v>700</v>
      </c>
      <c r="F65" s="6" t="inlineStr">
        <is>
          <t>debit</t>
        </is>
      </c>
      <c r="G65" s="6" t="inlineStr">
        <is>
          <t>balance_sheet</t>
        </is>
      </c>
    </row>
    <row r="66">
      <c r="A66" s="6" t="str"/>
      <c r="B66" s="6" t="str"/>
      <c r="C66" s="6" t="str"/>
      <c r="D66" s="6" t="inlineStr">
        <is>
          <t>REPAIRE &amp; MAINTENANCE EXPENS</t>
        </is>
      </c>
      <c r="E66" s="39" t="n">
        <v>6216</v>
      </c>
      <c r="F66" s="6" t="inlineStr">
        <is>
          <t>debit</t>
        </is>
      </c>
      <c r="G66" s="6" t="inlineStr">
        <is>
          <t>balance_sheet</t>
        </is>
      </c>
    </row>
    <row r="67">
      <c r="A67" s="6" t="str"/>
      <c r="B67" s="6" t="str"/>
      <c r="C67" s="6" t="str"/>
      <c r="D67" s="6" t="inlineStr">
        <is>
          <t>REPAIRE &amp; MAINTENANCE EXPENS</t>
        </is>
      </c>
      <c r="E67" s="39" t="n">
        <v>2520</v>
      </c>
      <c r="F67" s="6" t="inlineStr">
        <is>
          <t>debit</t>
        </is>
      </c>
      <c r="G67" s="6" t="inlineStr">
        <is>
          <t>balance_sheet</t>
        </is>
      </c>
    </row>
    <row r="68">
      <c r="A68" s="6" t="str"/>
      <c r="B68" s="6" t="str"/>
      <c r="C68" s="6" t="str"/>
      <c r="D68" s="6" t="inlineStr">
        <is>
          <t>REPAIRE &amp; MAINTENANCE EXPENS</t>
        </is>
      </c>
      <c r="E68" s="39" t="n">
        <v>8500</v>
      </c>
      <c r="F68" s="6" t="inlineStr">
        <is>
          <t>debit</t>
        </is>
      </c>
      <c r="G68" s="6" t="inlineStr">
        <is>
          <t>balance_sheet</t>
        </is>
      </c>
    </row>
    <row r="69">
      <c r="A69" s="6" t="str"/>
      <c r="B69" s="6" t="str"/>
      <c r="C69" s="6" t="str"/>
      <c r="D69" s="6" t="inlineStr">
        <is>
          <t>VEHICAL RUNING MAINTENANCE</t>
        </is>
      </c>
      <c r="E69" s="39" t="n">
        <v>8003.75</v>
      </c>
      <c r="F69" s="6" t="inlineStr">
        <is>
          <t>debit</t>
        </is>
      </c>
      <c r="G69" s="6" t="inlineStr">
        <is>
          <t>balance_sheet</t>
        </is>
      </c>
    </row>
    <row r="70">
      <c r="A70" s="34" t="str"/>
      <c r="B70" s="38" t="inlineStr">
        <is>
          <t>Staff Welfare &amp; Events</t>
        </is>
      </c>
      <c r="C70" s="34" t="str"/>
      <c r="D70" s="34" t="str"/>
      <c r="E70" s="35" t="n">
        <v>4042</v>
      </c>
      <c r="F70" s="34" t="inlineStr">
        <is>
          <t>2 txns</t>
        </is>
      </c>
      <c r="G70" s="34" t="inlineStr">
        <is>
          <t>balance_sheet</t>
        </is>
      </c>
    </row>
    <row r="71">
      <c r="A71" s="6" t="str"/>
      <c r="B71" s="6" t="str"/>
      <c r="C71" s="6" t="str"/>
      <c r="D71" s="6" t="inlineStr">
        <is>
          <t>STAFF WELFARE EXPENSES</t>
        </is>
      </c>
      <c r="E71" s="39" t="n">
        <v>3992</v>
      </c>
      <c r="F71" s="6" t="inlineStr">
        <is>
          <t>debit</t>
        </is>
      </c>
      <c r="G71" s="6" t="inlineStr">
        <is>
          <t>balance_sheet</t>
        </is>
      </c>
    </row>
    <row r="72">
      <c r="A72" s="6" t="str"/>
      <c r="B72" s="6" t="str"/>
      <c r="C72" s="6" t="str"/>
      <c r="D72" s="6" t="inlineStr">
        <is>
          <t>Staff Welfare Expenses @%</t>
        </is>
      </c>
      <c r="E72" s="39" t="n">
        <v>50</v>
      </c>
      <c r="F72" s="6" t="inlineStr">
        <is>
          <t>debit</t>
        </is>
      </c>
      <c r="G72" s="6" t="inlineStr">
        <is>
          <t>balance_sheet</t>
        </is>
      </c>
    </row>
    <row r="74">
      <c r="A74" s="24" t="inlineStr">
        <is>
          <t>J. Non-Operating</t>
        </is>
      </c>
      <c r="B74" s="24" t="str"/>
      <c r="C74" s="24" t="str"/>
      <c r="D74" s="24" t="str"/>
      <c r="E74" s="37" t="n">
        <v>58987</v>
      </c>
      <c r="F74" s="24" t="inlineStr">
        <is>
          <t>2 txns</t>
        </is>
      </c>
      <c r="G74" s="24" t="str"/>
    </row>
    <row r="75">
      <c r="A75" s="34" t="str"/>
      <c r="B75" s="38" t="inlineStr">
        <is>
          <t>Less: Interest Expense</t>
        </is>
      </c>
      <c r="C75" s="34" t="str"/>
      <c r="D75" s="34" t="str"/>
      <c r="E75" s="35" t="n">
        <v>58987</v>
      </c>
      <c r="F75" s="34" t="inlineStr">
        <is>
          <t>2 txns</t>
        </is>
      </c>
      <c r="G75" s="34" t="inlineStr">
        <is>
          <t>balance_sheet</t>
        </is>
      </c>
    </row>
    <row r="76">
      <c r="A76" s="6" t="str"/>
      <c r="B76" s="6" t="str"/>
      <c r="C76" s="6" t="str"/>
      <c r="D76" s="6" t="inlineStr">
        <is>
          <t>INTEREST ON CAR LOAN EXPENS</t>
        </is>
      </c>
      <c r="E76" s="39" t="n">
        <v>20674</v>
      </c>
      <c r="F76" s="6" t="inlineStr">
        <is>
          <t>debit</t>
        </is>
      </c>
      <c r="G76" s="6" t="inlineStr">
        <is>
          <t>balance_sheet</t>
        </is>
      </c>
    </row>
    <row r="77">
      <c r="A77" s="6" t="str"/>
      <c r="B77" s="6" t="str"/>
      <c r="C77" s="6" t="str"/>
      <c r="D77" s="6" t="inlineStr">
        <is>
          <t>INTEREST ON OD LIMIT</t>
        </is>
      </c>
      <c r="E77" s="39" t="n">
        <v>38313</v>
      </c>
      <c r="F77" s="6" t="inlineStr">
        <is>
          <t>debit</t>
        </is>
      </c>
      <c r="G77" s="6" t="inlineStr">
        <is>
          <t>balance_sheet</t>
        </is>
      </c>
    </row>
  </sheetData>
  <mergeCells count="1">
    <mergeCell ref="A1:G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cols>
    <col width="25.83203125" customWidth="1" style="2" min="1" max="1"/>
    <col width="30.83203125" customWidth="1" style="2" min="2" max="2"/>
    <col width="12.83203125" customWidth="1" style="2" min="3" max="3"/>
    <col width="45.83203125" customWidth="1" style="2" min="4" max="4"/>
    <col width="15.83203125" customWidth="1" style="2" min="5" max="5"/>
    <col width="10.83203125" customWidth="1" style="2" min="6" max="6"/>
    <col width="15.83203125" customWidth="1" style="2" min="7" max="7"/>
  </cols>
  <sheetData>
    <row r="1">
      <c r="A1" s="40" t="inlineStr">
        <is>
          <t>Dec 2024 - TRANSACTION DETAILS</t>
        </is>
      </c>
    </row>
    <row r="3">
      <c r="A3" s="5" t="inlineStr">
        <is>
          <t>Head</t>
        </is>
      </c>
      <c r="B3" s="5" t="inlineStr">
        <is>
          <t>Subhead</t>
        </is>
      </c>
      <c r="C3" s="5" t="inlineStr">
        <is>
          <t>Date</t>
        </is>
      </c>
      <c r="D3" s="5" t="inlineStr">
        <is>
          <t>Account</t>
        </is>
      </c>
      <c r="E3" s="5" t="inlineStr">
        <is>
          <t>Amount (₹)</t>
        </is>
      </c>
      <c r="F3" s="5" t="inlineStr">
        <is>
          <t>Type</t>
        </is>
      </c>
      <c r="G3" s="5" t="inlineStr">
        <is>
          <t>Source</t>
        </is>
      </c>
    </row>
    <row r="4">
      <c r="A4" s="24" t="inlineStr">
        <is>
          <t>E. COGM</t>
        </is>
      </c>
      <c r="B4" s="24" t="str"/>
      <c r="C4" s="24" t="str"/>
      <c r="D4" s="24" t="str"/>
      <c r="E4" s="37" t="n">
        <v>250122.21</v>
      </c>
      <c r="F4" s="24" t="inlineStr">
        <is>
          <t>7 txns</t>
        </is>
      </c>
      <c r="G4" s="24" t="str"/>
    </row>
    <row r="5">
      <c r="A5" s="34" t="str"/>
      <c r="B5" s="38" t="inlineStr">
        <is>
          <t>Raw Materials &amp; Inventory</t>
        </is>
      </c>
      <c r="C5" s="34" t="str"/>
      <c r="D5" s="34" t="str"/>
      <c r="E5" s="35" t="n">
        <v>2133269.55</v>
      </c>
      <c r="F5" s="34" t="inlineStr">
        <is>
          <t>1 txns</t>
        </is>
      </c>
      <c r="G5" s="34" t="inlineStr">
        <is>
          <t>calculated</t>
        </is>
      </c>
    </row>
    <row r="6">
      <c r="A6" s="6" t="str"/>
      <c r="B6" s="6" t="str"/>
      <c r="C6" s="6" t="str"/>
      <c r="D6" s="6" t="inlineStr">
        <is>
          <t>Raw Materials (Prorated by Revenue)</t>
        </is>
      </c>
      <c r="E6" s="39" t="n">
        <v>2133269.55</v>
      </c>
      <c r="F6" s="6" t="inlineStr">
        <is>
          <t>debit</t>
        </is>
      </c>
      <c r="G6" s="6" t="inlineStr">
        <is>
          <t>calculated</t>
        </is>
      </c>
    </row>
    <row r="7">
      <c r="A7" s="34" t="str"/>
      <c r="B7" s="38" t="inlineStr">
        <is>
          <t>Consumables</t>
        </is>
      </c>
      <c r="C7" s="34" t="str"/>
      <c r="D7" s="34" t="str"/>
      <c r="E7" s="35" t="n">
        <v>2270</v>
      </c>
      <c r="F7" s="34" t="inlineStr">
        <is>
          <t>1 txns</t>
        </is>
      </c>
      <c r="G7" s="34" t="inlineStr">
        <is>
          <t>balance_sheet</t>
        </is>
      </c>
    </row>
    <row r="8">
      <c r="A8" s="6" t="str"/>
      <c r="B8" s="6" t="str"/>
      <c r="C8" s="6" t="str"/>
      <c r="D8" s="6" t="inlineStr">
        <is>
          <t>CONSUMABLE EXPENSES @%</t>
        </is>
      </c>
      <c r="E8" s="39" t="n">
        <v>2270</v>
      </c>
      <c r="F8" s="6" t="inlineStr">
        <is>
          <t>debit</t>
        </is>
      </c>
      <c r="G8" s="6" t="inlineStr">
        <is>
          <t>balance_sheet</t>
        </is>
      </c>
    </row>
    <row r="9">
      <c r="A9" s="34" t="str"/>
      <c r="B9" s="38" t="inlineStr">
        <is>
          <t>Factory Maintenance</t>
        </is>
      </c>
      <c r="C9" s="34" t="str"/>
      <c r="D9" s="34" t="str"/>
      <c r="E9" s="35" t="n">
        <v>28535</v>
      </c>
      <c r="F9" s="34" t="inlineStr">
        <is>
          <t>2 txns</t>
        </is>
      </c>
      <c r="G9" s="34" t="inlineStr">
        <is>
          <t>balance_sheet</t>
        </is>
      </c>
    </row>
    <row r="10">
      <c r="A10" s="6" t="str"/>
      <c r="B10" s="6" t="str"/>
      <c r="C10" s="6" t="str"/>
      <c r="D10" s="6" t="inlineStr">
        <is>
          <t>Electricity &amp; Water Expenses</t>
        </is>
      </c>
      <c r="E10" s="39" t="n">
        <v>9535</v>
      </c>
      <c r="F10" s="6" t="inlineStr">
        <is>
          <t>debit</t>
        </is>
      </c>
      <c r="G10" s="6" t="inlineStr">
        <is>
          <t>balance_sheet</t>
        </is>
      </c>
    </row>
    <row r="11">
      <c r="A11" s="6" t="str"/>
      <c r="B11" s="6" t="str"/>
      <c r="C11" s="6" t="str"/>
      <c r="D11" s="6" t="inlineStr">
        <is>
          <t>POWER BACKUP &amp; MAITENANCE (D</t>
        </is>
      </c>
      <c r="E11" s="39" t="n">
        <v>19000</v>
      </c>
      <c r="F11" s="6" t="inlineStr">
        <is>
          <t>debit</t>
        </is>
      </c>
      <c r="G11" s="6" t="inlineStr">
        <is>
          <t>balance_sheet</t>
        </is>
      </c>
    </row>
    <row r="12">
      <c r="A12" s="34" t="str"/>
      <c r="B12" s="38" t="inlineStr">
        <is>
          <t>Inbound Transport</t>
        </is>
      </c>
      <c r="C12" s="34" t="str"/>
      <c r="D12" s="34" t="str"/>
      <c r="E12" s="35" t="n">
        <v>11017.26</v>
      </c>
      <c r="F12" s="34" t="inlineStr">
        <is>
          <t>2 txns</t>
        </is>
      </c>
      <c r="G12" s="34" t="inlineStr">
        <is>
          <t>balance_sheet</t>
        </is>
      </c>
    </row>
    <row r="13">
      <c r="A13" s="6" t="str"/>
      <c r="B13" s="6" t="str"/>
      <c r="C13" s="6" t="str"/>
      <c r="D13" s="6" t="inlineStr">
        <is>
          <t>FREIGHT CHARES @%</t>
        </is>
      </c>
      <c r="E13" s="39" t="n">
        <v>2500</v>
      </c>
      <c r="F13" s="6" t="inlineStr">
        <is>
          <t>debit</t>
        </is>
      </c>
      <c r="G13" s="6" t="inlineStr">
        <is>
          <t>balance_sheet</t>
        </is>
      </c>
    </row>
    <row r="14">
      <c r="A14" s="6" t="str"/>
      <c r="B14" s="6" t="str"/>
      <c r="C14" s="6" t="str"/>
      <c r="D14" s="6" t="inlineStr">
        <is>
          <t>FREIGHT CHARGES@%</t>
        </is>
      </c>
      <c r="E14" s="39" t="n">
        <v>8517.26</v>
      </c>
      <c r="F14" s="6" t="inlineStr">
        <is>
          <t>debit</t>
        </is>
      </c>
      <c r="G14" s="6" t="inlineStr">
        <is>
          <t>balance_sheet</t>
        </is>
      </c>
    </row>
    <row r="15">
      <c r="A15" s="34" t="str"/>
      <c r="B15" s="38" t="inlineStr">
        <is>
          <t>Job work</t>
        </is>
      </c>
      <c r="C15" s="34" t="str"/>
      <c r="D15" s="34" t="str"/>
      <c r="E15" s="35" t="n">
        <v>188299.95</v>
      </c>
      <c r="F15" s="34" t="inlineStr">
        <is>
          <t>1 txns</t>
        </is>
      </c>
      <c r="G15" s="34" t="inlineStr">
        <is>
          <t>balance_sheet</t>
        </is>
      </c>
    </row>
    <row r="16">
      <c r="A16" s="6" t="str"/>
      <c r="B16" s="6" t="str"/>
      <c r="C16" s="6" t="str"/>
      <c r="D16" s="6" t="inlineStr">
        <is>
          <t>JOB WORK @%</t>
        </is>
      </c>
      <c r="E16" s="39" t="n">
        <v>188299.95</v>
      </c>
      <c r="F16" s="6" t="inlineStr">
        <is>
          <t>debit</t>
        </is>
      </c>
      <c r="G16" s="6" t="inlineStr">
        <is>
          <t>balance_sheet</t>
        </is>
      </c>
    </row>
    <row r="17">
      <c r="A17" s="34" t="str"/>
      <c r="B17" s="38" t="inlineStr">
        <is>
          <t>Manufacturing Wages</t>
        </is>
      </c>
      <c r="C17" s="34" t="str"/>
      <c r="D17" s="34" t="str"/>
      <c r="E17" s="35" t="n">
        <v>20000</v>
      </c>
      <c r="F17" s="34" t="inlineStr">
        <is>
          <t>1 txns</t>
        </is>
      </c>
      <c r="G17" s="34" t="inlineStr">
        <is>
          <t>balance_sheet</t>
        </is>
      </c>
    </row>
    <row r="18">
      <c r="A18" s="6" t="str"/>
      <c r="B18" s="6" t="str"/>
      <c r="C18" s="6" t="str"/>
      <c r="D18" s="6" t="inlineStr">
        <is>
          <t>LABOUR &amp; WAGES EXPENSES</t>
        </is>
      </c>
      <c r="E18" s="39" t="n">
        <v>20000</v>
      </c>
      <c r="F18" s="6" t="inlineStr">
        <is>
          <t>debit</t>
        </is>
      </c>
      <c r="G18" s="6" t="inlineStr">
        <is>
          <t>balance_sheet</t>
        </is>
      </c>
    </row>
    <row r="20">
      <c r="A20" s="24" t="inlineStr">
        <is>
          <t>F. Channel &amp; Fulfillment</t>
        </is>
      </c>
      <c r="B20" s="24" t="str"/>
      <c r="C20" s="24" t="str"/>
      <c r="D20" s="24" t="str"/>
      <c r="E20" s="37" t="n">
        <v>1051210.27</v>
      </c>
      <c r="F20" s="24" t="inlineStr">
        <is>
          <t>6 txns</t>
        </is>
      </c>
      <c r="G20" s="24" t="str"/>
    </row>
    <row r="21">
      <c r="A21" s="34" t="str"/>
      <c r="B21" s="38" t="inlineStr">
        <is>
          <t>Amazon Fees</t>
        </is>
      </c>
      <c r="C21" s="34" t="str"/>
      <c r="D21" s="34" t="str"/>
      <c r="E21" s="35" t="n">
        <v>1020411.87</v>
      </c>
      <c r="F21" s="34" t="inlineStr">
        <is>
          <t>2 txns</t>
        </is>
      </c>
      <c r="G21" s="34" t="inlineStr">
        <is>
          <t>balance_sheet</t>
        </is>
      </c>
    </row>
    <row r="22">
      <c r="A22" s="6" t="str"/>
      <c r="B22" s="6" t="str"/>
      <c r="C22" s="6" t="str"/>
      <c r="D22" s="6" t="inlineStr">
        <is>
          <t>AMAZON LOGISTICS EXP.</t>
        </is>
      </c>
      <c r="E22" s="39" t="n">
        <v>906944.98</v>
      </c>
      <c r="F22" s="6" t="inlineStr">
        <is>
          <t>debit</t>
        </is>
      </c>
      <c r="G22" s="6" t="inlineStr">
        <is>
          <t>balance_sheet</t>
        </is>
      </c>
    </row>
    <row r="23">
      <c r="A23" s="6" t="str"/>
      <c r="B23" s="6" t="str"/>
      <c r="C23" s="6" t="str"/>
      <c r="D23" s="6" t="inlineStr">
        <is>
          <t>AMAZON LOGISCTICS EXP.</t>
        </is>
      </c>
      <c r="E23" s="39" t="n">
        <v>113466.89</v>
      </c>
      <c r="F23" s="6" t="inlineStr">
        <is>
          <t>debit</t>
        </is>
      </c>
      <c r="G23" s="6" t="inlineStr">
        <is>
          <t>balance_sheet</t>
        </is>
      </c>
    </row>
    <row r="24">
      <c r="A24" s="34" t="str"/>
      <c r="B24" s="38" t="inlineStr">
        <is>
          <t>D2C Fees</t>
        </is>
      </c>
      <c r="C24" s="34" t="str"/>
      <c r="D24" s="34" t="str"/>
      <c r="E24" s="35" t="n">
        <v>30798.4</v>
      </c>
      <c r="F24" s="34" t="inlineStr">
        <is>
          <t>4 txns</t>
        </is>
      </c>
      <c r="G24" s="34" t="inlineStr">
        <is>
          <t>balance_sheet</t>
        </is>
      </c>
    </row>
    <row r="25">
      <c r="A25" s="6" t="str"/>
      <c r="B25" s="6" t="str"/>
      <c r="C25" s="6" t="str"/>
      <c r="D25" s="6" t="inlineStr">
        <is>
          <t>COURIER &amp; POSTAGE EXPENSE</t>
        </is>
      </c>
      <c r="E25" s="39" t="n">
        <v>448.4</v>
      </c>
      <c r="F25" s="6" t="inlineStr">
        <is>
          <t>debit</t>
        </is>
      </c>
      <c r="G25" s="6" t="inlineStr">
        <is>
          <t>balance_sheet</t>
        </is>
      </c>
    </row>
    <row r="26">
      <c r="A26" s="6" t="str"/>
      <c r="B26" s="6" t="str"/>
      <c r="C26" s="6" t="str"/>
      <c r="D26" s="6" t="inlineStr">
        <is>
          <t>Freight &amp; Forwarding Charges</t>
        </is>
      </c>
      <c r="E26" s="39" t="n">
        <v>988</v>
      </c>
      <c r="F26" s="6" t="inlineStr">
        <is>
          <t>debit</t>
        </is>
      </c>
      <c r="G26" s="6" t="inlineStr">
        <is>
          <t>balance_sheet</t>
        </is>
      </c>
    </row>
    <row r="27">
      <c r="A27" s="6" t="str"/>
      <c r="B27" s="6" t="str"/>
      <c r="C27" s="6" t="str"/>
      <c r="D27" s="6" t="inlineStr">
        <is>
          <t>FREIGHT CHARGE@%</t>
        </is>
      </c>
      <c r="E27" s="39" t="n">
        <v>13498</v>
      </c>
      <c r="F27" s="6" t="inlineStr">
        <is>
          <t>debit</t>
        </is>
      </c>
      <c r="G27" s="6" t="inlineStr">
        <is>
          <t>balance_sheet</t>
        </is>
      </c>
    </row>
    <row r="28">
      <c r="A28" s="6" t="str"/>
      <c r="B28" s="6" t="str"/>
      <c r="C28" s="6" t="str"/>
      <c r="D28" s="6" t="inlineStr">
        <is>
          <t>PORTER DAILY EXP.</t>
        </is>
      </c>
      <c r="E28" s="39" t="n">
        <v>15864</v>
      </c>
      <c r="F28" s="6" t="inlineStr">
        <is>
          <t>debit</t>
        </is>
      </c>
      <c r="G28" s="6" t="inlineStr">
        <is>
          <t>balance_sheet</t>
        </is>
      </c>
    </row>
    <row r="30">
      <c r="A30" s="24" t="inlineStr">
        <is>
          <t>G. Sales &amp; Marketing</t>
        </is>
      </c>
      <c r="B30" s="24" t="str"/>
      <c r="C30" s="24" t="str"/>
      <c r="D30" s="24" t="str"/>
      <c r="E30" s="37" t="n">
        <v>1185447.01</v>
      </c>
      <c r="F30" s="24" t="inlineStr">
        <is>
          <t>2 txns</t>
        </is>
      </c>
      <c r="G30" s="24" t="str"/>
    </row>
    <row r="31">
      <c r="A31" s="34" t="str"/>
      <c r="B31" s="38" t="inlineStr">
        <is>
          <t>Advertising &amp; Marketing</t>
        </is>
      </c>
      <c r="C31" s="34" t="str"/>
      <c r="D31" s="34" t="str"/>
      <c r="E31" s="35" t="n">
        <v>1185447.01</v>
      </c>
      <c r="F31" s="34" t="inlineStr">
        <is>
          <t>2 txns</t>
        </is>
      </c>
      <c r="G31" s="34" t="inlineStr">
        <is>
          <t>balance_sheet</t>
        </is>
      </c>
    </row>
    <row r="32">
      <c r="A32" s="6" t="str"/>
      <c r="B32" s="6" t="str"/>
      <c r="C32" s="6" t="str"/>
      <c r="D32" s="6" t="inlineStr">
        <is>
          <t>Advertisement &amp; Publicity</t>
        </is>
      </c>
      <c r="E32" s="39" t="n">
        <v>1178711.01</v>
      </c>
      <c r="F32" s="6" t="inlineStr">
        <is>
          <t>debit</t>
        </is>
      </c>
      <c r="G32" s="6" t="inlineStr">
        <is>
          <t>balance_sheet</t>
        </is>
      </c>
    </row>
    <row r="33">
      <c r="A33" s="6" t="str"/>
      <c r="B33" s="6" t="str"/>
      <c r="C33" s="6" t="str"/>
      <c r="D33" s="6" t="inlineStr">
        <is>
          <t>BUSINESS PROMOTION EXPENSES</t>
        </is>
      </c>
      <c r="E33" s="39" t="n">
        <v>6736</v>
      </c>
      <c r="F33" s="6" t="inlineStr">
        <is>
          <t>debit</t>
        </is>
      </c>
      <c r="G33" s="6" t="inlineStr">
        <is>
          <t>balance_sheet</t>
        </is>
      </c>
    </row>
    <row r="35">
      <c r="A35" s="24" t="inlineStr">
        <is>
          <t>H. Platform Costs</t>
        </is>
      </c>
      <c r="B35" s="24" t="str"/>
      <c r="C35" s="24" t="str"/>
      <c r="D35" s="24" t="str"/>
      <c r="E35" s="37" t="n">
        <v>6073.1</v>
      </c>
      <c r="F35" s="24" t="inlineStr">
        <is>
          <t>1 txns</t>
        </is>
      </c>
      <c r="G35" s="24" t="str"/>
    </row>
    <row r="36">
      <c r="A36" s="34" t="str"/>
      <c r="B36" s="38" t="inlineStr">
        <is>
          <t>Shopify Subscription</t>
        </is>
      </c>
      <c r="C36" s="34" t="str"/>
      <c r="D36" s="34" t="str"/>
      <c r="E36" s="35" t="n">
        <v>6073.1</v>
      </c>
      <c r="F36" s="34" t="inlineStr">
        <is>
          <t>1 txns</t>
        </is>
      </c>
      <c r="G36" s="34" t="inlineStr">
        <is>
          <t>balance_sheet</t>
        </is>
      </c>
    </row>
    <row r="37">
      <c r="A37" s="6" t="str"/>
      <c r="B37" s="6" t="str"/>
      <c r="C37" s="6" t="str"/>
      <c r="D37" s="6" t="inlineStr">
        <is>
          <t>PLATFORM FEE</t>
        </is>
      </c>
      <c r="E37" s="39" t="n">
        <v>6073.1</v>
      </c>
      <c r="F37" s="6" t="inlineStr">
        <is>
          <t>debit</t>
        </is>
      </c>
      <c r="G37" s="6" t="inlineStr">
        <is>
          <t>balance_sheet</t>
        </is>
      </c>
    </row>
    <row r="39">
      <c r="A39" s="24" t="inlineStr">
        <is>
          <t>I. Operating Expenses</t>
        </is>
      </c>
      <c r="B39" s="24" t="str"/>
      <c r="C39" s="24" t="str"/>
      <c r="D39" s="24" t="str"/>
      <c r="E39" s="37" t="n">
        <v>1030173.25</v>
      </c>
      <c r="F39" s="24" t="inlineStr">
        <is>
          <t>28 txns</t>
        </is>
      </c>
      <c r="G39" s="24" t="str"/>
    </row>
    <row r="40">
      <c r="A40" s="34" t="str"/>
      <c r="B40" s="38" t="inlineStr">
        <is>
          <t>Legal &amp; CA expenses</t>
        </is>
      </c>
      <c r="C40" s="34" t="str"/>
      <c r="D40" s="34" t="str"/>
      <c r="E40" s="35" t="n">
        <v>85641.8</v>
      </c>
      <c r="F40" s="34" t="inlineStr">
        <is>
          <t>4 txns</t>
        </is>
      </c>
      <c r="G40" s="34" t="inlineStr">
        <is>
          <t>balance_sheet</t>
        </is>
      </c>
    </row>
    <row r="41">
      <c r="A41" s="6" t="str"/>
      <c r="B41" s="6" t="str"/>
      <c r="C41" s="6" t="str"/>
      <c r="D41" s="6" t="inlineStr">
        <is>
          <t>ACCOUNTING &amp; RETURN FILLING</t>
        </is>
      </c>
      <c r="E41" s="39" t="n">
        <v>200</v>
      </c>
      <c r="F41" s="6" t="inlineStr">
        <is>
          <t>debit</t>
        </is>
      </c>
      <c r="G41" s="6" t="inlineStr">
        <is>
          <t>balance_sheet</t>
        </is>
      </c>
    </row>
    <row r="42">
      <c r="A42" s="6" t="str"/>
      <c r="B42" s="6" t="str"/>
      <c r="C42" s="6" t="str"/>
      <c r="D42" s="6" t="inlineStr">
        <is>
          <t>BARCODE REGISTRSTION EXP.</t>
        </is>
      </c>
      <c r="E42" s="39" t="n">
        <v>59061.8</v>
      </c>
      <c r="F42" s="6" t="inlineStr">
        <is>
          <t>debit</t>
        </is>
      </c>
      <c r="G42" s="6" t="inlineStr">
        <is>
          <t>balance_sheet</t>
        </is>
      </c>
    </row>
    <row r="43">
      <c r="A43" s="6" t="str"/>
      <c r="B43" s="6" t="str"/>
      <c r="C43" s="6" t="str"/>
      <c r="D43" s="6" t="inlineStr">
        <is>
          <t>GST REGISTRATION EXP.</t>
        </is>
      </c>
      <c r="E43" s="39" t="n">
        <v>18880</v>
      </c>
      <c r="F43" s="6" t="inlineStr">
        <is>
          <t>debit</t>
        </is>
      </c>
      <c r="G43" s="6" t="inlineStr">
        <is>
          <t>balance_sheet</t>
        </is>
      </c>
    </row>
    <row r="44">
      <c r="A44" s="6" t="str"/>
      <c r="B44" s="6" t="str"/>
      <c r="C44" s="6" t="str"/>
      <c r="D44" s="6" t="inlineStr">
        <is>
          <t>LEGAL &amp; PROFESSIONAL EXPENS</t>
        </is>
      </c>
      <c r="E44" s="39" t="n">
        <v>7500</v>
      </c>
      <c r="F44" s="6" t="inlineStr">
        <is>
          <t>debit</t>
        </is>
      </c>
      <c r="G44" s="6" t="inlineStr">
        <is>
          <t>balance_sheet</t>
        </is>
      </c>
    </row>
    <row r="45">
      <c r="A45" s="34" t="str"/>
      <c r="B45" s="38" t="inlineStr">
        <is>
          <t>Other Operating Expenses</t>
        </is>
      </c>
      <c r="C45" s="34" t="str"/>
      <c r="D45" s="34" t="str"/>
      <c r="E45" s="35" t="n">
        <v>22052</v>
      </c>
      <c r="F45" s="34" t="inlineStr">
        <is>
          <t>7 txns</t>
        </is>
      </c>
      <c r="G45" s="34" t="inlineStr">
        <is>
          <t>balance_sheet</t>
        </is>
      </c>
    </row>
    <row r="46">
      <c r="A46" s="6" t="str"/>
      <c r="B46" s="6" t="str"/>
      <c r="C46" s="6" t="str"/>
      <c r="D46" s="6" t="inlineStr">
        <is>
          <t>AVANISH KUMAR (EXP. A/C)</t>
        </is>
      </c>
      <c r="E46" s="39" t="n">
        <v>5136</v>
      </c>
      <c r="F46" s="6" t="inlineStr">
        <is>
          <t>debit</t>
        </is>
      </c>
      <c r="G46" s="6" t="inlineStr">
        <is>
          <t>balance_sheet</t>
        </is>
      </c>
    </row>
    <row r="47">
      <c r="A47" s="6" t="str"/>
      <c r="B47" s="6" t="str"/>
      <c r="C47" s="6" t="str"/>
      <c r="D47" s="6" t="inlineStr">
        <is>
          <t>PRABHASH EXP. A/C</t>
        </is>
      </c>
      <c r="E47" s="39" t="n">
        <v>-45693</v>
      </c>
      <c r="F47" s="6" t="inlineStr">
        <is>
          <t>debit</t>
        </is>
      </c>
      <c r="G47" s="6" t="inlineStr">
        <is>
          <t>balance_sheet</t>
        </is>
      </c>
    </row>
    <row r="48">
      <c r="A48" s="6" t="str"/>
      <c r="B48" s="6" t="str"/>
      <c r="C48" s="6" t="str"/>
      <c r="D48" s="6" t="inlineStr">
        <is>
          <t>PRIOR PERIOD EXP.</t>
        </is>
      </c>
      <c r="E48" s="39" t="n">
        <v>247</v>
      </c>
      <c r="F48" s="6" t="inlineStr">
        <is>
          <t>debit</t>
        </is>
      </c>
      <c r="G48" s="6" t="inlineStr">
        <is>
          <t>balance_sheet</t>
        </is>
      </c>
    </row>
    <row r="49">
      <c r="A49" s="6" t="str"/>
      <c r="B49" s="6" t="str"/>
      <c r="C49" s="6" t="str"/>
      <c r="D49" s="6" t="inlineStr">
        <is>
          <t>RATE DIFFERENCE</t>
        </is>
      </c>
      <c r="E49" s="39" t="n">
        <v>17147</v>
      </c>
      <c r="F49" s="6" t="inlineStr">
        <is>
          <t>debit</t>
        </is>
      </c>
      <c r="G49" s="6" t="inlineStr">
        <is>
          <t>balance_sheet</t>
        </is>
      </c>
    </row>
    <row r="50">
      <c r="A50" s="6" t="str"/>
      <c r="B50" s="6" t="str"/>
      <c r="C50" s="6" t="str"/>
      <c r="D50" s="6" t="inlineStr">
        <is>
          <t>Rounded Off</t>
        </is>
      </c>
      <c r="E50" s="39" t="n">
        <v>4.26</v>
      </c>
      <c r="F50" s="6" t="inlineStr">
        <is>
          <t>debit</t>
        </is>
      </c>
      <c r="G50" s="6" t="inlineStr">
        <is>
          <t>balance_sheet</t>
        </is>
      </c>
    </row>
    <row r="51">
      <c r="A51" s="6" t="str"/>
      <c r="B51" s="6" t="str"/>
      <c r="C51" s="6" t="str"/>
      <c r="D51" s="6" t="inlineStr">
        <is>
          <t>TRANSPOTATION EXPENSES</t>
        </is>
      </c>
      <c r="E51" s="39" t="n">
        <v>45212</v>
      </c>
      <c r="F51" s="6" t="inlineStr">
        <is>
          <t>debit</t>
        </is>
      </c>
      <c r="G51" s="6" t="inlineStr">
        <is>
          <t>balance_sheet</t>
        </is>
      </c>
    </row>
    <row r="52">
      <c r="A52" s="6" t="str"/>
      <c r="B52" s="6" t="str"/>
      <c r="C52" s="6" t="str"/>
      <c r="D52" s="6" t="inlineStr">
        <is>
          <t>Rounded Off</t>
        </is>
      </c>
      <c r="E52" s="39" t="n">
        <v>-1.26</v>
      </c>
      <c r="F52" s="6" t="inlineStr">
        <is>
          <t>debit</t>
        </is>
      </c>
      <c r="G52" s="6" t="inlineStr">
        <is>
          <t>balance_sheet</t>
        </is>
      </c>
    </row>
    <row r="53">
      <c r="A53" s="34" t="str"/>
      <c r="B53" s="38" t="inlineStr">
        <is>
          <t>Banks &amp; Finance Charges</t>
        </is>
      </c>
      <c r="C53" s="34" t="str"/>
      <c r="D53" s="34" t="str"/>
      <c r="E53" s="35" t="n">
        <v>1418</v>
      </c>
      <c r="F53" s="34" t="inlineStr">
        <is>
          <t>2 txns</t>
        </is>
      </c>
      <c r="G53" s="34" t="inlineStr">
        <is>
          <t>balance_sheet</t>
        </is>
      </c>
    </row>
    <row r="54">
      <c r="A54" s="6" t="str"/>
      <c r="B54" s="6" t="str"/>
      <c r="C54" s="6" t="str"/>
      <c r="D54" s="6" t="inlineStr">
        <is>
          <t>Bank Charges@%</t>
        </is>
      </c>
      <c r="E54" s="39" t="n">
        <v>218</v>
      </c>
      <c r="F54" s="6" t="inlineStr">
        <is>
          <t>debit</t>
        </is>
      </c>
      <c r="G54" s="6" t="inlineStr">
        <is>
          <t>balance_sheet</t>
        </is>
      </c>
    </row>
    <row r="55">
      <c r="A55" s="6" t="str"/>
      <c r="B55" s="6" t="str"/>
      <c r="C55" s="6" t="str"/>
      <c r="D55" s="6" t="inlineStr">
        <is>
          <t>PROCESSING FEE</t>
        </is>
      </c>
      <c r="E55" s="39" t="n">
        <v>1200</v>
      </c>
      <c r="F55" s="6" t="inlineStr">
        <is>
          <t>debit</t>
        </is>
      </c>
      <c r="G55" s="6" t="inlineStr">
        <is>
          <t>balance_sheet</t>
        </is>
      </c>
    </row>
    <row r="56">
      <c r="A56" s="34" t="str"/>
      <c r="B56" s="38" t="inlineStr">
        <is>
          <t>Administrative Expenses</t>
        </is>
      </c>
      <c r="C56" s="34" t="str"/>
      <c r="D56" s="34" t="str"/>
      <c r="E56" s="35" t="n">
        <v>273015.45</v>
      </c>
      <c r="F56" s="34" t="inlineStr">
        <is>
          <t>9 txns</t>
        </is>
      </c>
      <c r="G56" s="34" t="inlineStr">
        <is>
          <t>balance_sheet</t>
        </is>
      </c>
    </row>
    <row r="57">
      <c r="A57" s="6" t="str"/>
      <c r="B57" s="6" t="str"/>
      <c r="C57" s="6" t="str"/>
      <c r="D57" s="6" t="inlineStr">
        <is>
          <t>COMMUNICATION EXP.</t>
        </is>
      </c>
      <c r="E57" s="39" t="n">
        <v>7694.92</v>
      </c>
      <c r="F57" s="6" t="inlineStr">
        <is>
          <t>debit</t>
        </is>
      </c>
      <c r="G57" s="6" t="inlineStr">
        <is>
          <t>balance_sheet</t>
        </is>
      </c>
    </row>
    <row r="58">
      <c r="A58" s="6" t="str"/>
      <c r="B58" s="6" t="str"/>
      <c r="C58" s="6" t="str"/>
      <c r="D58" s="6" t="inlineStr">
        <is>
          <t>OFFICE EXPENSES</t>
        </is>
      </c>
      <c r="E58" s="39" t="n">
        <v>8122</v>
      </c>
      <c r="F58" s="6" t="inlineStr">
        <is>
          <t>debit</t>
        </is>
      </c>
      <c r="G58" s="6" t="inlineStr">
        <is>
          <t>balance_sheet</t>
        </is>
      </c>
    </row>
    <row r="59">
      <c r="A59" s="6" t="str"/>
      <c r="B59" s="6" t="str"/>
      <c r="C59" s="6" t="str"/>
      <c r="D59" s="6" t="inlineStr">
        <is>
          <t>OFFICE EXPENSES @ %</t>
        </is>
      </c>
      <c r="E59" s="39" t="n">
        <v>54726</v>
      </c>
      <c r="F59" s="6" t="inlineStr">
        <is>
          <t>debit</t>
        </is>
      </c>
      <c r="G59" s="6" t="inlineStr">
        <is>
          <t>balance_sheet</t>
        </is>
      </c>
    </row>
    <row r="60">
      <c r="A60" s="6" t="str"/>
      <c r="B60" s="6" t="str"/>
      <c r="C60" s="6" t="str"/>
      <c r="D60" s="6" t="inlineStr">
        <is>
          <t>Office Rent</t>
        </is>
      </c>
      <c r="E60" s="39" t="n">
        <v>144453.13</v>
      </c>
      <c r="F60" s="6" t="inlineStr">
        <is>
          <t>debit</t>
        </is>
      </c>
      <c r="G60" s="6" t="inlineStr">
        <is>
          <t>balance_sheet</t>
        </is>
      </c>
    </row>
    <row r="61">
      <c r="A61" s="6" t="str"/>
      <c r="B61" s="6" t="str"/>
      <c r="C61" s="6" t="str"/>
      <c r="D61" s="6" t="inlineStr">
        <is>
          <t>Printing &amp; Stationery@%</t>
        </is>
      </c>
      <c r="E61" s="39" t="n">
        <v>20212</v>
      </c>
      <c r="F61" s="6" t="inlineStr">
        <is>
          <t>debit</t>
        </is>
      </c>
      <c r="G61" s="6" t="inlineStr">
        <is>
          <t>balance_sheet</t>
        </is>
      </c>
    </row>
    <row r="62">
      <c r="A62" s="6" t="str"/>
      <c r="B62" s="6" t="str"/>
      <c r="C62" s="6" t="str"/>
      <c r="D62" s="6" t="inlineStr">
        <is>
          <t>PRINTING STATIONERY EXPENSES</t>
        </is>
      </c>
      <c r="E62" s="39" t="n">
        <v>11250</v>
      </c>
      <c r="F62" s="6" t="inlineStr">
        <is>
          <t>debit</t>
        </is>
      </c>
      <c r="G62" s="6" t="inlineStr">
        <is>
          <t>balance_sheet</t>
        </is>
      </c>
    </row>
    <row r="63">
      <c r="A63" s="6" t="str"/>
      <c r="B63" s="6" t="str"/>
      <c r="C63" s="6" t="str"/>
      <c r="D63" s="6" t="inlineStr">
        <is>
          <t>REPAIRE &amp; MAINTENANCE EXPENS</t>
        </is>
      </c>
      <c r="E63" s="39" t="n">
        <v>7921</v>
      </c>
      <c r="F63" s="6" t="inlineStr">
        <is>
          <t>debit</t>
        </is>
      </c>
      <c r="G63" s="6" t="inlineStr">
        <is>
          <t>balance_sheet</t>
        </is>
      </c>
    </row>
    <row r="64">
      <c r="A64" s="6" t="str"/>
      <c r="B64" s="6" t="str"/>
      <c r="C64" s="6" t="str"/>
      <c r="D64" s="6" t="inlineStr">
        <is>
          <t>REPAIRE &amp; MAINTENANCE EXPENS</t>
        </is>
      </c>
      <c r="E64" s="39" t="n">
        <v>5000</v>
      </c>
      <c r="F64" s="6" t="inlineStr">
        <is>
          <t>debit</t>
        </is>
      </c>
      <c r="G64" s="6" t="inlineStr">
        <is>
          <t>balance_sheet</t>
        </is>
      </c>
    </row>
    <row r="65">
      <c r="A65" s="6" t="str"/>
      <c r="B65" s="6" t="str"/>
      <c r="C65" s="6" t="str"/>
      <c r="D65" s="6" t="inlineStr">
        <is>
          <t>VEHICAL RUNING MAINTENANCE</t>
        </is>
      </c>
      <c r="E65" s="39" t="n">
        <v>13636.4</v>
      </c>
      <c r="F65" s="6" t="inlineStr">
        <is>
          <t>debit</t>
        </is>
      </c>
      <c r="G65" s="6" t="inlineStr">
        <is>
          <t>balance_sheet</t>
        </is>
      </c>
    </row>
    <row r="66">
      <c r="A66" s="34" t="str"/>
      <c r="B66" s="38" t="inlineStr">
        <is>
          <t>Salaries (Admin Mgmt)</t>
        </is>
      </c>
      <c r="C66" s="34" t="str"/>
      <c r="D66" s="34" t="str"/>
      <c r="E66" s="35" t="n">
        <v>556328</v>
      </c>
      <c r="F66" s="34" t="inlineStr">
        <is>
          <t>2 txns</t>
        </is>
      </c>
      <c r="G66" s="34" t="inlineStr">
        <is>
          <t>balance_sheet</t>
        </is>
      </c>
    </row>
    <row r="67">
      <c r="A67" s="6" t="str"/>
      <c r="B67" s="6" t="str"/>
      <c r="C67" s="6" t="str"/>
      <c r="D67" s="6" t="inlineStr">
        <is>
          <t>ESI EMPLOYER CONTRIBUTTION E</t>
        </is>
      </c>
      <c r="E67" s="39" t="n">
        <v>4284</v>
      </c>
      <c r="F67" s="6" t="inlineStr">
        <is>
          <t>debit</t>
        </is>
      </c>
      <c r="G67" s="6" t="inlineStr">
        <is>
          <t>balance_sheet</t>
        </is>
      </c>
    </row>
    <row r="68">
      <c r="A68" s="6" t="str"/>
      <c r="B68" s="6" t="str"/>
      <c r="C68" s="6" t="str"/>
      <c r="D68" s="6" t="inlineStr">
        <is>
          <t>Salary Expenses</t>
        </is>
      </c>
      <c r="E68" s="39" t="n">
        <v>552044</v>
      </c>
      <c r="F68" s="6" t="inlineStr">
        <is>
          <t>debit</t>
        </is>
      </c>
      <c r="G68" s="6" t="inlineStr">
        <is>
          <t>balance_sheet</t>
        </is>
      </c>
    </row>
    <row r="69">
      <c r="A69" s="34" t="str"/>
      <c r="B69" s="38" t="inlineStr">
        <is>
          <t>Staff Welfare &amp; Events</t>
        </is>
      </c>
      <c r="C69" s="34" t="str"/>
      <c r="D69" s="34" t="str"/>
      <c r="E69" s="35" t="n">
        <v>11664</v>
      </c>
      <c r="F69" s="34" t="inlineStr">
        <is>
          <t>2 txns</t>
        </is>
      </c>
      <c r="G69" s="34" t="inlineStr">
        <is>
          <t>balance_sheet</t>
        </is>
      </c>
    </row>
    <row r="70">
      <c r="A70" s="6" t="str"/>
      <c r="B70" s="6" t="str"/>
      <c r="C70" s="6" t="str"/>
      <c r="D70" s="6" t="inlineStr">
        <is>
          <t>STAFF WELFARE EXPENSES</t>
        </is>
      </c>
      <c r="E70" s="39" t="n">
        <v>7466</v>
      </c>
      <c r="F70" s="6" t="inlineStr">
        <is>
          <t>debit</t>
        </is>
      </c>
      <c r="G70" s="6" t="inlineStr">
        <is>
          <t>balance_sheet</t>
        </is>
      </c>
    </row>
    <row r="71">
      <c r="A71" s="6" t="str"/>
      <c r="B71" s="6" t="str"/>
      <c r="C71" s="6" t="str"/>
      <c r="D71" s="6" t="inlineStr">
        <is>
          <t>Staff Welfare Expenses @%</t>
        </is>
      </c>
      <c r="E71" s="39" t="n">
        <v>4198</v>
      </c>
      <c r="F71" s="6" t="inlineStr">
        <is>
          <t>debit</t>
        </is>
      </c>
      <c r="G71" s="6" t="inlineStr">
        <is>
          <t>balance_sheet</t>
        </is>
      </c>
    </row>
    <row r="72">
      <c r="A72" s="34" t="str"/>
      <c r="B72" s="38" t="inlineStr">
        <is>
          <t>Miscellaneous (Travel, insurance)</t>
        </is>
      </c>
      <c r="C72" s="34" t="str"/>
      <c r="D72" s="34" t="str"/>
      <c r="E72" s="35" t="n">
        <v>80054</v>
      </c>
      <c r="F72" s="34" t="inlineStr">
        <is>
          <t>2 txns</t>
        </is>
      </c>
      <c r="G72" s="34" t="inlineStr">
        <is>
          <t>balance_sheet</t>
        </is>
      </c>
    </row>
    <row r="73">
      <c r="A73" s="6" t="str"/>
      <c r="B73" s="6" t="str"/>
      <c r="C73" s="6" t="str"/>
      <c r="D73" s="6" t="inlineStr">
        <is>
          <t>Tour &amp;Travelling Expenses</t>
        </is>
      </c>
      <c r="E73" s="39" t="n">
        <v>500</v>
      </c>
      <c r="F73" s="6" t="inlineStr">
        <is>
          <t>debit</t>
        </is>
      </c>
      <c r="G73" s="6" t="inlineStr">
        <is>
          <t>balance_sheet</t>
        </is>
      </c>
    </row>
    <row r="74">
      <c r="A74" s="6" t="str"/>
      <c r="B74" s="6" t="str"/>
      <c r="C74" s="6" t="str"/>
      <c r="D74" s="6" t="inlineStr">
        <is>
          <t>Travelling Expenses</t>
        </is>
      </c>
      <c r="E74" s="39" t="n">
        <v>79554</v>
      </c>
      <c r="F74" s="6" t="inlineStr">
        <is>
          <t>debit</t>
        </is>
      </c>
      <c r="G74" s="6" t="inlineStr">
        <is>
          <t>balance_sheet</t>
        </is>
      </c>
    </row>
    <row r="76">
      <c r="A76" s="24" t="inlineStr">
        <is>
          <t>J. Non-Operating</t>
        </is>
      </c>
      <c r="B76" s="24" t="str"/>
      <c r="C76" s="24" t="str"/>
      <c r="D76" s="24" t="str"/>
      <c r="E76" s="37" t="n">
        <v>55367</v>
      </c>
      <c r="F76" s="24" t="inlineStr">
        <is>
          <t>2 txns</t>
        </is>
      </c>
      <c r="G76" s="24" t="str"/>
    </row>
    <row r="77">
      <c r="A77" s="34" t="str"/>
      <c r="B77" s="38" t="inlineStr">
        <is>
          <t>Less: Interest Expense</t>
        </is>
      </c>
      <c r="C77" s="34" t="str"/>
      <c r="D77" s="34" t="str"/>
      <c r="E77" s="35" t="n">
        <v>55367</v>
      </c>
      <c r="F77" s="34" t="inlineStr">
        <is>
          <t>2 txns</t>
        </is>
      </c>
      <c r="G77" s="34" t="inlineStr">
        <is>
          <t>balance_sheet</t>
        </is>
      </c>
    </row>
    <row r="78">
      <c r="A78" s="6" t="str"/>
      <c r="B78" s="6" t="str"/>
      <c r="C78" s="6" t="str"/>
      <c r="D78" s="6" t="inlineStr">
        <is>
          <t>INTEREST ON CAR LOAN EXPENS</t>
        </is>
      </c>
      <c r="E78" s="39" t="n">
        <v>20922</v>
      </c>
      <c r="F78" s="6" t="inlineStr">
        <is>
          <t>debit</t>
        </is>
      </c>
      <c r="G78" s="6" t="inlineStr">
        <is>
          <t>balance_sheet</t>
        </is>
      </c>
    </row>
    <row r="79">
      <c r="A79" s="6" t="str"/>
      <c r="B79" s="6" t="str"/>
      <c r="C79" s="6" t="str"/>
      <c r="D79" s="6" t="inlineStr">
        <is>
          <t>INTEREST ON OD LIMIT</t>
        </is>
      </c>
      <c r="E79" s="39" t="n">
        <v>34445</v>
      </c>
      <c r="F79" s="6" t="inlineStr">
        <is>
          <t>debit</t>
        </is>
      </c>
      <c r="G79" s="6" t="inlineStr">
        <is>
          <t>balance_sheet</t>
        </is>
      </c>
    </row>
  </sheetData>
  <mergeCells count="1">
    <mergeCell ref="A1:G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25.83203125" customWidth="1" style="2" min="1" max="1"/>
    <col width="30.83203125" customWidth="1" style="2" min="2" max="2"/>
    <col width="12.83203125" customWidth="1" style="2" min="3" max="3"/>
    <col width="45.83203125" customWidth="1" style="2" min="4" max="4"/>
    <col width="15.83203125" customWidth="1" style="2" min="5" max="5"/>
    <col width="10.83203125" customWidth="1" style="2" min="6" max="6"/>
    <col width="15.83203125" customWidth="1" style="2" min="7" max="7"/>
  </cols>
  <sheetData>
    <row r="1">
      <c r="A1" s="40" t="inlineStr">
        <is>
          <t>Nov 2024 - TRANSACTION DETAILS</t>
        </is>
      </c>
    </row>
    <row r="3">
      <c r="A3" s="5" t="inlineStr">
        <is>
          <t>Head</t>
        </is>
      </c>
      <c r="B3" s="5" t="inlineStr">
        <is>
          <t>Subhead</t>
        </is>
      </c>
      <c r="C3" s="5" t="inlineStr">
        <is>
          <t>Date</t>
        </is>
      </c>
      <c r="D3" s="5" t="inlineStr">
        <is>
          <t>Account</t>
        </is>
      </c>
      <c r="E3" s="5" t="inlineStr">
        <is>
          <t>Amount (₹)</t>
        </is>
      </c>
      <c r="F3" s="5" t="inlineStr">
        <is>
          <t>Type</t>
        </is>
      </c>
      <c r="G3" s="5" t="inlineStr">
        <is>
          <t>Source</t>
        </is>
      </c>
    </row>
    <row r="4">
      <c r="A4" s="24" t="inlineStr">
        <is>
          <t>E. COGM</t>
        </is>
      </c>
      <c r="B4" s="24" t="str"/>
      <c r="C4" s="24" t="str"/>
      <c r="D4" s="24" t="str"/>
      <c r="E4" s="37" t="n">
        <v>109351</v>
      </c>
      <c r="F4" s="24" t="inlineStr">
        <is>
          <t>7 txns</t>
        </is>
      </c>
      <c r="G4" s="24" t="str"/>
    </row>
    <row r="5">
      <c r="A5" s="34" t="str"/>
      <c r="B5" s="38" t="inlineStr">
        <is>
          <t>Raw Materials &amp; Inventory</t>
        </is>
      </c>
      <c r="C5" s="34" t="str"/>
      <c r="D5" s="34" t="str"/>
      <c r="E5" s="35" t="n">
        <v>1488784.8</v>
      </c>
      <c r="F5" s="34" t="inlineStr">
        <is>
          <t>1 txns</t>
        </is>
      </c>
      <c r="G5" s="34" t="inlineStr">
        <is>
          <t>calculated</t>
        </is>
      </c>
    </row>
    <row r="6">
      <c r="A6" s="6" t="str"/>
      <c r="B6" s="6" t="str"/>
      <c r="C6" s="6" t="str"/>
      <c r="D6" s="6" t="inlineStr">
        <is>
          <t>Raw Materials (Prorated by Revenue)</t>
        </is>
      </c>
      <c r="E6" s="39" t="n">
        <v>1488784.8</v>
      </c>
      <c r="F6" s="6" t="inlineStr">
        <is>
          <t>debit</t>
        </is>
      </c>
      <c r="G6" s="6" t="inlineStr">
        <is>
          <t>calculated</t>
        </is>
      </c>
    </row>
    <row r="7">
      <c r="A7" s="34" t="str"/>
      <c r="B7" s="38" t="inlineStr">
        <is>
          <t>Consumables</t>
        </is>
      </c>
      <c r="C7" s="34" t="str"/>
      <c r="D7" s="34" t="str"/>
      <c r="E7" s="35" t="n">
        <v>4568</v>
      </c>
      <c r="F7" s="34" t="inlineStr">
        <is>
          <t>1 txns</t>
        </is>
      </c>
      <c r="G7" s="34" t="inlineStr">
        <is>
          <t>balance_sheet</t>
        </is>
      </c>
    </row>
    <row r="8">
      <c r="A8" s="6" t="str"/>
      <c r="B8" s="6" t="str"/>
      <c r="C8" s="6" t="str"/>
      <c r="D8" s="6" t="inlineStr">
        <is>
          <t>CONSUMABLE EXPENSES @%</t>
        </is>
      </c>
      <c r="E8" s="39" t="n">
        <v>4568</v>
      </c>
      <c r="F8" s="6" t="inlineStr">
        <is>
          <t>debit</t>
        </is>
      </c>
      <c r="G8" s="6" t="inlineStr">
        <is>
          <t>balance_sheet</t>
        </is>
      </c>
    </row>
    <row r="9">
      <c r="A9" s="34" t="str"/>
      <c r="B9" s="38" t="inlineStr">
        <is>
          <t>Factory Maintenance</t>
        </is>
      </c>
      <c r="C9" s="34" t="str"/>
      <c r="D9" s="34" t="str"/>
      <c r="E9" s="35" t="n">
        <v>33705</v>
      </c>
      <c r="F9" s="34" t="inlineStr">
        <is>
          <t>2 txns</t>
        </is>
      </c>
      <c r="G9" s="34" t="inlineStr">
        <is>
          <t>balance_sheet</t>
        </is>
      </c>
    </row>
    <row r="10">
      <c r="A10" s="6" t="str"/>
      <c r="B10" s="6" t="str"/>
      <c r="C10" s="6" t="str"/>
      <c r="D10" s="6" t="inlineStr">
        <is>
          <t>Electricity &amp; Water Expenses</t>
        </is>
      </c>
      <c r="E10" s="39" t="n">
        <v>14705</v>
      </c>
      <c r="F10" s="6" t="inlineStr">
        <is>
          <t>debit</t>
        </is>
      </c>
      <c r="G10" s="6" t="inlineStr">
        <is>
          <t>balance_sheet</t>
        </is>
      </c>
    </row>
    <row r="11">
      <c r="A11" s="6" t="str"/>
      <c r="B11" s="6" t="str"/>
      <c r="C11" s="6" t="str"/>
      <c r="D11" s="6" t="inlineStr">
        <is>
          <t>POWER BACKUP &amp; MAITENANCE (D</t>
        </is>
      </c>
      <c r="E11" s="39" t="n">
        <v>19000</v>
      </c>
      <c r="F11" s="6" t="inlineStr">
        <is>
          <t>debit</t>
        </is>
      </c>
      <c r="G11" s="6" t="inlineStr">
        <is>
          <t>balance_sheet</t>
        </is>
      </c>
    </row>
    <row r="12">
      <c r="A12" s="34" t="str"/>
      <c r="B12" s="38" t="inlineStr">
        <is>
          <t>Inbound Transport</t>
        </is>
      </c>
      <c r="C12" s="34" t="str"/>
      <c r="D12" s="34" t="str"/>
      <c r="E12" s="35" t="n">
        <v>4130</v>
      </c>
      <c r="F12" s="34" t="inlineStr">
        <is>
          <t>2 txns</t>
        </is>
      </c>
      <c r="G12" s="34" t="inlineStr">
        <is>
          <t>balance_sheet</t>
        </is>
      </c>
    </row>
    <row r="13">
      <c r="A13" s="6" t="str"/>
      <c r="B13" s="6" t="str"/>
      <c r="C13" s="6" t="str"/>
      <c r="D13" s="6" t="inlineStr">
        <is>
          <t>FREIGHT CHARES @%</t>
        </is>
      </c>
      <c r="E13" s="39" t="n">
        <v>1130</v>
      </c>
      <c r="F13" s="6" t="inlineStr">
        <is>
          <t>debit</t>
        </is>
      </c>
      <c r="G13" s="6" t="inlineStr">
        <is>
          <t>balance_sheet</t>
        </is>
      </c>
    </row>
    <row r="14">
      <c r="A14" s="6" t="str"/>
      <c r="B14" s="6" t="str"/>
      <c r="C14" s="6" t="str"/>
      <c r="D14" s="6" t="inlineStr">
        <is>
          <t>FREIGHT CHARGES@%</t>
        </is>
      </c>
      <c r="E14" s="39" t="n">
        <v>3000</v>
      </c>
      <c r="F14" s="6" t="inlineStr">
        <is>
          <t>debit</t>
        </is>
      </c>
      <c r="G14" s="6" t="inlineStr">
        <is>
          <t>balance_sheet</t>
        </is>
      </c>
    </row>
    <row r="15">
      <c r="A15" s="34" t="str"/>
      <c r="B15" s="38" t="inlineStr">
        <is>
          <t>Job work</t>
        </is>
      </c>
      <c r="C15" s="34" t="str"/>
      <c r="D15" s="34" t="str"/>
      <c r="E15" s="35" t="n">
        <v>61948</v>
      </c>
      <c r="F15" s="34" t="inlineStr">
        <is>
          <t>1 txns</t>
        </is>
      </c>
      <c r="G15" s="34" t="inlineStr">
        <is>
          <t>balance_sheet</t>
        </is>
      </c>
    </row>
    <row r="16">
      <c r="A16" s="6" t="str"/>
      <c r="B16" s="6" t="str"/>
      <c r="C16" s="6" t="str"/>
      <c r="D16" s="6" t="inlineStr">
        <is>
          <t>JOB WORK @%</t>
        </is>
      </c>
      <c r="E16" s="39" t="n">
        <v>61948</v>
      </c>
      <c r="F16" s="6" t="inlineStr">
        <is>
          <t>debit</t>
        </is>
      </c>
      <c r="G16" s="6" t="inlineStr">
        <is>
          <t>balance_sheet</t>
        </is>
      </c>
    </row>
    <row r="17">
      <c r="A17" s="34" t="str"/>
      <c r="B17" s="38" t="inlineStr">
        <is>
          <t>Manufacturing Wages</t>
        </is>
      </c>
      <c r="C17" s="34" t="str"/>
      <c r="D17" s="34" t="str"/>
      <c r="E17" s="35" t="n">
        <v>5000</v>
      </c>
      <c r="F17" s="34" t="inlineStr">
        <is>
          <t>1 txns</t>
        </is>
      </c>
      <c r="G17" s="34" t="inlineStr">
        <is>
          <t>balance_sheet</t>
        </is>
      </c>
    </row>
    <row r="18">
      <c r="A18" s="6" t="str"/>
      <c r="B18" s="6" t="str"/>
      <c r="C18" s="6" t="str"/>
      <c r="D18" s="6" t="inlineStr">
        <is>
          <t>LABOUR &amp; WAGES EXPENSES</t>
        </is>
      </c>
      <c r="E18" s="39" t="n">
        <v>5000</v>
      </c>
      <c r="F18" s="6" t="inlineStr">
        <is>
          <t>debit</t>
        </is>
      </c>
      <c r="G18" s="6" t="inlineStr">
        <is>
          <t>balance_sheet</t>
        </is>
      </c>
    </row>
    <row r="20">
      <c r="A20" s="24" t="inlineStr">
        <is>
          <t>F. Channel &amp; Fulfillment</t>
        </is>
      </c>
      <c r="B20" s="24" t="str"/>
      <c r="C20" s="24" t="str"/>
      <c r="D20" s="24" t="str"/>
      <c r="E20" s="37" t="n">
        <v>886741.24</v>
      </c>
      <c r="F20" s="24" t="inlineStr">
        <is>
          <t>5 txns</t>
        </is>
      </c>
      <c r="G20" s="24" t="str"/>
    </row>
    <row r="21">
      <c r="A21" s="34" t="str"/>
      <c r="B21" s="38" t="inlineStr">
        <is>
          <t>Amazon Fees</t>
        </is>
      </c>
      <c r="C21" s="34" t="str"/>
      <c r="D21" s="34" t="str"/>
      <c r="E21" s="35" t="n">
        <v>778578.37</v>
      </c>
      <c r="F21" s="34" t="inlineStr">
        <is>
          <t>2 txns</t>
        </is>
      </c>
      <c r="G21" s="34" t="inlineStr">
        <is>
          <t>balance_sheet</t>
        </is>
      </c>
    </row>
    <row r="22">
      <c r="A22" s="6" t="str"/>
      <c r="B22" s="6" t="str"/>
      <c r="C22" s="6" t="str"/>
      <c r="D22" s="6" t="inlineStr">
        <is>
          <t>AMAZON LOGISTICS EXP.</t>
        </is>
      </c>
      <c r="E22" s="39" t="n">
        <v>588866.0699999999</v>
      </c>
      <c r="F22" s="6" t="inlineStr">
        <is>
          <t>debit</t>
        </is>
      </c>
      <c r="G22" s="6" t="inlineStr">
        <is>
          <t>balance_sheet</t>
        </is>
      </c>
    </row>
    <row r="23">
      <c r="A23" s="6" t="str"/>
      <c r="B23" s="6" t="str"/>
      <c r="C23" s="6" t="str"/>
      <c r="D23" s="6" t="inlineStr">
        <is>
          <t>AMAZON LOGISCTICS EXP.</t>
        </is>
      </c>
      <c r="E23" s="39" t="n">
        <v>189712.3</v>
      </c>
      <c r="F23" s="6" t="inlineStr">
        <is>
          <t>debit</t>
        </is>
      </c>
      <c r="G23" s="6" t="inlineStr">
        <is>
          <t>balance_sheet</t>
        </is>
      </c>
    </row>
    <row r="24">
      <c r="A24" s="34" t="str"/>
      <c r="B24" s="38" t="inlineStr">
        <is>
          <t>D2C Fees</t>
        </is>
      </c>
      <c r="C24" s="34" t="str"/>
      <c r="D24" s="34" t="str"/>
      <c r="E24" s="35" t="n">
        <v>108162.87</v>
      </c>
      <c r="F24" s="34" t="inlineStr">
        <is>
          <t>3 txns</t>
        </is>
      </c>
      <c r="G24" s="34" t="inlineStr">
        <is>
          <t>balance_sheet</t>
        </is>
      </c>
    </row>
    <row r="25">
      <c r="A25" s="6" t="str"/>
      <c r="B25" s="6" t="str"/>
      <c r="C25" s="6" t="str"/>
      <c r="D25" s="6" t="inlineStr">
        <is>
          <t>COURIER &amp; POSTAGE EXPENSE</t>
        </is>
      </c>
      <c r="E25" s="39" t="n">
        <v>13401.87</v>
      </c>
      <c r="F25" s="6" t="inlineStr">
        <is>
          <t>debit</t>
        </is>
      </c>
      <c r="G25" s="6" t="inlineStr">
        <is>
          <t>balance_sheet</t>
        </is>
      </c>
    </row>
    <row r="26">
      <c r="A26" s="6" t="str"/>
      <c r="B26" s="6" t="str"/>
      <c r="C26" s="6" t="str"/>
      <c r="D26" s="6" t="inlineStr">
        <is>
          <t>FREIGHT CHARGE@%</t>
        </is>
      </c>
      <c r="E26" s="39" t="n">
        <v>76823</v>
      </c>
      <c r="F26" s="6" t="inlineStr">
        <is>
          <t>debit</t>
        </is>
      </c>
      <c r="G26" s="6" t="inlineStr">
        <is>
          <t>balance_sheet</t>
        </is>
      </c>
    </row>
    <row r="27">
      <c r="A27" s="6" t="str"/>
      <c r="B27" s="6" t="str"/>
      <c r="C27" s="6" t="str"/>
      <c r="D27" s="6" t="inlineStr">
        <is>
          <t>PORTER DAILY EXP.</t>
        </is>
      </c>
      <c r="E27" s="39" t="n">
        <v>17938</v>
      </c>
      <c r="F27" s="6" t="inlineStr">
        <is>
          <t>debit</t>
        </is>
      </c>
      <c r="G27" s="6" t="inlineStr">
        <is>
          <t>balance_sheet</t>
        </is>
      </c>
    </row>
    <row r="29">
      <c r="A29" s="24" t="inlineStr">
        <is>
          <t>G. Sales &amp; Marketing</t>
        </is>
      </c>
      <c r="B29" s="24" t="str"/>
      <c r="C29" s="24" t="str"/>
      <c r="D29" s="24" t="str"/>
      <c r="E29" s="37" t="n">
        <v>797601.22</v>
      </c>
      <c r="F29" s="24" t="inlineStr">
        <is>
          <t>1 txns</t>
        </is>
      </c>
      <c r="G29" s="24" t="str"/>
    </row>
    <row r="30">
      <c r="A30" s="34" t="str"/>
      <c r="B30" s="38" t="inlineStr">
        <is>
          <t>Advertising &amp; Marketing</t>
        </is>
      </c>
      <c r="C30" s="34" t="str"/>
      <c r="D30" s="34" t="str"/>
      <c r="E30" s="35" t="n">
        <v>797601.22</v>
      </c>
      <c r="F30" s="34" t="inlineStr">
        <is>
          <t>1 txns</t>
        </is>
      </c>
      <c r="G30" s="34" t="inlineStr">
        <is>
          <t>balance_sheet</t>
        </is>
      </c>
    </row>
    <row r="31">
      <c r="A31" s="6" t="str"/>
      <c r="B31" s="6" t="str"/>
      <c r="C31" s="6" t="str"/>
      <c r="D31" s="6" t="inlineStr">
        <is>
          <t>Advertisement &amp; Publicity</t>
        </is>
      </c>
      <c r="E31" s="39" t="n">
        <v>797601.22</v>
      </c>
      <c r="F31" s="6" t="inlineStr">
        <is>
          <t>debit</t>
        </is>
      </c>
      <c r="G31" s="6" t="inlineStr">
        <is>
          <t>balance_sheet</t>
        </is>
      </c>
    </row>
    <row r="33">
      <c r="A33" s="24" t="inlineStr">
        <is>
          <t>H. Platform Costs</t>
        </is>
      </c>
      <c r="B33" s="24" t="str"/>
      <c r="C33" s="24" t="str"/>
      <c r="D33" s="24" t="str"/>
      <c r="E33" s="37" t="n">
        <v>70.69</v>
      </c>
      <c r="F33" s="24" t="inlineStr">
        <is>
          <t>1 txns</t>
        </is>
      </c>
      <c r="G33" s="24" t="str"/>
    </row>
    <row r="34">
      <c r="A34" s="34" t="str"/>
      <c r="B34" s="38" t="inlineStr">
        <is>
          <t>Shopify Subscription</t>
        </is>
      </c>
      <c r="C34" s="34" t="str"/>
      <c r="D34" s="34" t="str"/>
      <c r="E34" s="35" t="n">
        <v>70.69</v>
      </c>
      <c r="F34" s="34" t="inlineStr">
        <is>
          <t>1 txns</t>
        </is>
      </c>
      <c r="G34" s="34" t="inlineStr">
        <is>
          <t>balance_sheet</t>
        </is>
      </c>
    </row>
    <row r="35">
      <c r="A35" s="6" t="str"/>
      <c r="B35" s="6" t="str"/>
      <c r="C35" s="6" t="str"/>
      <c r="D35" s="6" t="inlineStr">
        <is>
          <t>PLATFORM FEE</t>
        </is>
      </c>
      <c r="E35" s="39" t="n">
        <v>70.69</v>
      </c>
      <c r="F35" s="6" t="inlineStr">
        <is>
          <t>debit</t>
        </is>
      </c>
      <c r="G35" s="6" t="inlineStr">
        <is>
          <t>balance_sheet</t>
        </is>
      </c>
    </row>
    <row r="37">
      <c r="A37" s="24" t="inlineStr">
        <is>
          <t>I. Operating Expenses</t>
        </is>
      </c>
      <c r="B37" s="24" t="str"/>
      <c r="C37" s="24" t="str"/>
      <c r="D37" s="24" t="str"/>
      <c r="E37" s="37" t="n">
        <v>884913.51</v>
      </c>
      <c r="F37" s="24" t="inlineStr">
        <is>
          <t>24 txns</t>
        </is>
      </c>
      <c r="G37" s="24" t="str"/>
    </row>
    <row r="38">
      <c r="A38" s="34" t="str"/>
      <c r="B38" s="38" t="inlineStr">
        <is>
          <t>Other Operating Expenses</t>
        </is>
      </c>
      <c r="C38" s="34" t="str"/>
      <c r="D38" s="34" t="str"/>
      <c r="E38" s="35" t="n">
        <v>31940.75</v>
      </c>
      <c r="F38" s="34" t="inlineStr">
        <is>
          <t>5 txns</t>
        </is>
      </c>
      <c r="G38" s="34" t="inlineStr">
        <is>
          <t>balance_sheet</t>
        </is>
      </c>
    </row>
    <row r="39">
      <c r="A39" s="6" t="str"/>
      <c r="B39" s="6" t="str"/>
      <c r="C39" s="6" t="str"/>
      <c r="D39" s="6" t="inlineStr">
        <is>
          <t>AVANISH KUMAR (EXP. A/C)</t>
        </is>
      </c>
      <c r="E39" s="39" t="n">
        <v>-2190</v>
      </c>
      <c r="F39" s="6" t="inlineStr">
        <is>
          <t>debit</t>
        </is>
      </c>
      <c r="G39" s="6" t="inlineStr">
        <is>
          <t>balance_sheet</t>
        </is>
      </c>
    </row>
    <row r="40">
      <c r="A40" s="6" t="str"/>
      <c r="B40" s="6" t="str"/>
      <c r="C40" s="6" t="str"/>
      <c r="D40" s="6" t="inlineStr">
        <is>
          <t>PRABHASH EXP. A/C</t>
        </is>
      </c>
      <c r="E40" s="39" t="n">
        <v>22136</v>
      </c>
      <c r="F40" s="6" t="inlineStr">
        <is>
          <t>debit</t>
        </is>
      </c>
      <c r="G40" s="6" t="inlineStr">
        <is>
          <t>balance_sheet</t>
        </is>
      </c>
    </row>
    <row r="41">
      <c r="A41" s="6" t="str"/>
      <c r="B41" s="6" t="str"/>
      <c r="C41" s="6" t="str"/>
      <c r="D41" s="6" t="inlineStr">
        <is>
          <t>Rounded Off</t>
        </is>
      </c>
      <c r="E41" s="39" t="n">
        <v>-3.67</v>
      </c>
      <c r="F41" s="6" t="inlineStr">
        <is>
          <t>debit</t>
        </is>
      </c>
      <c r="G41" s="6" t="inlineStr">
        <is>
          <t>balance_sheet</t>
        </is>
      </c>
    </row>
    <row r="42">
      <c r="A42" s="6" t="str"/>
      <c r="B42" s="6" t="str"/>
      <c r="C42" s="6" t="str"/>
      <c r="D42" s="6" t="inlineStr">
        <is>
          <t>TRANSPOTATION EXPENSES</t>
        </is>
      </c>
      <c r="E42" s="39" t="n">
        <v>12000</v>
      </c>
      <c r="F42" s="6" t="inlineStr">
        <is>
          <t>debit</t>
        </is>
      </c>
      <c r="G42" s="6" t="inlineStr">
        <is>
          <t>balance_sheet</t>
        </is>
      </c>
    </row>
    <row r="43">
      <c r="A43" s="6" t="str"/>
      <c r="B43" s="6" t="str"/>
      <c r="C43" s="6" t="str"/>
      <c r="D43" s="6" t="inlineStr">
        <is>
          <t>Rounded Off</t>
        </is>
      </c>
      <c r="E43" s="39" t="n">
        <v>-1.58</v>
      </c>
      <c r="F43" s="6" t="inlineStr">
        <is>
          <t>debit</t>
        </is>
      </c>
      <c r="G43" s="6" t="inlineStr">
        <is>
          <t>balance_sheet</t>
        </is>
      </c>
    </row>
    <row r="44">
      <c r="A44" s="34" t="str"/>
      <c r="B44" s="38" t="inlineStr">
        <is>
          <t>Banks &amp; Finance Charges</t>
        </is>
      </c>
      <c r="C44" s="34" t="str"/>
      <c r="D44" s="34" t="str"/>
      <c r="E44" s="35" t="n">
        <v>100</v>
      </c>
      <c r="F44" s="34" t="inlineStr">
        <is>
          <t>1 txns</t>
        </is>
      </c>
      <c r="G44" s="34" t="inlineStr">
        <is>
          <t>balance_sheet</t>
        </is>
      </c>
    </row>
    <row r="45">
      <c r="A45" s="6" t="str"/>
      <c r="B45" s="6" t="str"/>
      <c r="C45" s="6" t="str"/>
      <c r="D45" s="6" t="inlineStr">
        <is>
          <t>Bank Charges@%</t>
        </is>
      </c>
      <c r="E45" s="39" t="n">
        <v>100</v>
      </c>
      <c r="F45" s="6" t="inlineStr">
        <is>
          <t>debit</t>
        </is>
      </c>
      <c r="G45" s="6" t="inlineStr">
        <is>
          <t>balance_sheet</t>
        </is>
      </c>
    </row>
    <row r="46">
      <c r="A46" s="34" t="str"/>
      <c r="B46" s="38" t="inlineStr">
        <is>
          <t>Administrative Expenses</t>
        </is>
      </c>
      <c r="C46" s="34" t="str"/>
      <c r="D46" s="34" t="str"/>
      <c r="E46" s="35" t="n">
        <v>222942.76</v>
      </c>
      <c r="F46" s="34" t="inlineStr">
        <is>
          <t>8 txns</t>
        </is>
      </c>
      <c r="G46" s="34" t="inlineStr">
        <is>
          <t>balance_sheet</t>
        </is>
      </c>
    </row>
    <row r="47">
      <c r="A47" s="6" t="str"/>
      <c r="B47" s="6" t="str"/>
      <c r="C47" s="6" t="str"/>
      <c r="D47" s="6" t="inlineStr">
        <is>
          <t>COMMUNICATION EXP.</t>
        </is>
      </c>
      <c r="E47" s="39" t="n">
        <v>507.63</v>
      </c>
      <c r="F47" s="6" t="inlineStr">
        <is>
          <t>debit</t>
        </is>
      </c>
      <c r="G47" s="6" t="inlineStr">
        <is>
          <t>balance_sheet</t>
        </is>
      </c>
    </row>
    <row r="48">
      <c r="A48" s="6" t="str"/>
      <c r="B48" s="6" t="str"/>
      <c r="C48" s="6" t="str"/>
      <c r="D48" s="6" t="inlineStr">
        <is>
          <t>OFFICE EXPENSES</t>
        </is>
      </c>
      <c r="E48" s="39" t="n">
        <v>4006</v>
      </c>
      <c r="F48" s="6" t="inlineStr">
        <is>
          <t>debit</t>
        </is>
      </c>
      <c r="G48" s="6" t="inlineStr">
        <is>
          <t>balance_sheet</t>
        </is>
      </c>
    </row>
    <row r="49">
      <c r="A49" s="6" t="str"/>
      <c r="B49" s="6" t="str"/>
      <c r="C49" s="6" t="str"/>
      <c r="D49" s="6" t="inlineStr">
        <is>
          <t>Office Rent</t>
        </is>
      </c>
      <c r="E49" s="39" t="n">
        <v>144453.13</v>
      </c>
      <c r="F49" s="6" t="inlineStr">
        <is>
          <t>debit</t>
        </is>
      </c>
      <c r="G49" s="6" t="inlineStr">
        <is>
          <t>balance_sheet</t>
        </is>
      </c>
    </row>
    <row r="50">
      <c r="A50" s="6" t="str"/>
      <c r="B50" s="6" t="str"/>
      <c r="C50" s="6" t="str"/>
      <c r="D50" s="6" t="inlineStr">
        <is>
          <t>Printing &amp; Stationery@%</t>
        </is>
      </c>
      <c r="E50" s="39" t="n">
        <v>6920</v>
      </c>
      <c r="F50" s="6" t="inlineStr">
        <is>
          <t>debit</t>
        </is>
      </c>
      <c r="G50" s="6" t="inlineStr">
        <is>
          <t>balance_sheet</t>
        </is>
      </c>
    </row>
    <row r="51">
      <c r="A51" s="6" t="str"/>
      <c r="B51" s="6" t="str"/>
      <c r="C51" s="6" t="str"/>
      <c r="D51" s="6" t="inlineStr">
        <is>
          <t>PRINTING STATIONERY EXPENSES</t>
        </is>
      </c>
      <c r="E51" s="39" t="n">
        <v>5080</v>
      </c>
      <c r="F51" s="6" t="inlineStr">
        <is>
          <t>debit</t>
        </is>
      </c>
      <c r="G51" s="6" t="inlineStr">
        <is>
          <t>balance_sheet</t>
        </is>
      </c>
    </row>
    <row r="52">
      <c r="A52" s="6" t="str"/>
      <c r="B52" s="6" t="str"/>
      <c r="C52" s="6" t="str"/>
      <c r="D52" s="6" t="inlineStr">
        <is>
          <t>REPAIRE &amp; MAINTENANCE EXPENS</t>
        </is>
      </c>
      <c r="E52" s="39" t="n">
        <v>20110</v>
      </c>
      <c r="F52" s="6" t="inlineStr">
        <is>
          <t>debit</t>
        </is>
      </c>
      <c r="G52" s="6" t="inlineStr">
        <is>
          <t>balance_sheet</t>
        </is>
      </c>
    </row>
    <row r="53">
      <c r="A53" s="6" t="str"/>
      <c r="B53" s="6" t="str"/>
      <c r="C53" s="6" t="str"/>
      <c r="D53" s="6" t="inlineStr">
        <is>
          <t>REPAIRE &amp; MAINTENANCE EXPENS</t>
        </is>
      </c>
      <c r="E53" s="39" t="n">
        <v>40000</v>
      </c>
      <c r="F53" s="6" t="inlineStr">
        <is>
          <t>debit</t>
        </is>
      </c>
      <c r="G53" s="6" t="inlineStr">
        <is>
          <t>balance_sheet</t>
        </is>
      </c>
    </row>
    <row r="54">
      <c r="A54" s="6" t="str"/>
      <c r="B54" s="6" t="str"/>
      <c r="C54" s="6" t="str"/>
      <c r="D54" s="6" t="inlineStr">
        <is>
          <t>VEHICAL RUNING MAINTENANCE</t>
        </is>
      </c>
      <c r="E54" s="39" t="n">
        <v>1866</v>
      </c>
      <c r="F54" s="6" t="inlineStr">
        <is>
          <t>debit</t>
        </is>
      </c>
      <c r="G54" s="6" t="inlineStr">
        <is>
          <t>balance_sheet</t>
        </is>
      </c>
    </row>
    <row r="55">
      <c r="A55" s="34" t="str"/>
      <c r="B55" s="38" t="inlineStr">
        <is>
          <t>Legal &amp; CA expenses</t>
        </is>
      </c>
      <c r="C55" s="34" t="str"/>
      <c r="D55" s="34" t="str"/>
      <c r="E55" s="35" t="n">
        <v>140450</v>
      </c>
      <c r="F55" s="34" t="inlineStr">
        <is>
          <t>3 txns</t>
        </is>
      </c>
      <c r="G55" s="34" t="inlineStr">
        <is>
          <t>balance_sheet</t>
        </is>
      </c>
    </row>
    <row r="56">
      <c r="A56" s="6" t="str"/>
      <c r="B56" s="6" t="str"/>
      <c r="C56" s="6" t="str"/>
      <c r="D56" s="6" t="inlineStr">
        <is>
          <t>CONSULTANCY CHARGES</t>
        </is>
      </c>
      <c r="E56" s="39" t="n">
        <v>24990</v>
      </c>
      <c r="F56" s="6" t="inlineStr">
        <is>
          <t>debit</t>
        </is>
      </c>
      <c r="G56" s="6" t="inlineStr">
        <is>
          <t>balance_sheet</t>
        </is>
      </c>
    </row>
    <row r="57">
      <c r="A57" s="6" t="str"/>
      <c r="B57" s="6" t="str"/>
      <c r="C57" s="6" t="str"/>
      <c r="D57" s="6" t="inlineStr">
        <is>
          <t>GST REGISTRATION EXP.</t>
        </is>
      </c>
      <c r="E57" s="39" t="n">
        <v>37760</v>
      </c>
      <c r="F57" s="6" t="inlineStr">
        <is>
          <t>debit</t>
        </is>
      </c>
      <c r="G57" s="6" t="inlineStr">
        <is>
          <t>balance_sheet</t>
        </is>
      </c>
    </row>
    <row r="58">
      <c r="A58" s="6" t="str"/>
      <c r="B58" s="6" t="str"/>
      <c r="C58" s="6" t="str"/>
      <c r="D58" s="6" t="inlineStr">
        <is>
          <t>LEGAL &amp; PROFESSIONAL EXPENS</t>
        </is>
      </c>
      <c r="E58" s="39" t="n">
        <v>77700</v>
      </c>
      <c r="F58" s="6" t="inlineStr">
        <is>
          <t>debit</t>
        </is>
      </c>
      <c r="G58" s="6" t="inlineStr">
        <is>
          <t>balance_sheet</t>
        </is>
      </c>
    </row>
    <row r="59">
      <c r="A59" s="34" t="str"/>
      <c r="B59" s="38" t="inlineStr">
        <is>
          <t>Miscellaneous (Travel, insurance)</t>
        </is>
      </c>
      <c r="C59" s="34" t="str"/>
      <c r="D59" s="34" t="str"/>
      <c r="E59" s="35" t="n">
        <v>26803</v>
      </c>
      <c r="F59" s="34" t="inlineStr">
        <is>
          <t>4 txns</t>
        </is>
      </c>
      <c r="G59" s="34" t="inlineStr">
        <is>
          <t>balance_sheet</t>
        </is>
      </c>
    </row>
    <row r="60">
      <c r="A60" s="6" t="str"/>
      <c r="B60" s="6" t="str"/>
      <c r="C60" s="6" t="str"/>
      <c r="D60" s="6" t="inlineStr">
        <is>
          <t>CONVEYANCE &amp; AUTO CHARGE</t>
        </is>
      </c>
      <c r="E60" s="39" t="n">
        <v>1000</v>
      </c>
      <c r="F60" s="6" t="inlineStr">
        <is>
          <t>debit</t>
        </is>
      </c>
      <c r="G60" s="6" t="inlineStr">
        <is>
          <t>balance_sheet</t>
        </is>
      </c>
    </row>
    <row r="61">
      <c r="A61" s="6" t="str"/>
      <c r="B61" s="6" t="str"/>
      <c r="C61" s="6" t="str"/>
      <c r="D61" s="6" t="inlineStr">
        <is>
          <t>Conveyance Expenses</t>
        </is>
      </c>
      <c r="E61" s="39" t="n">
        <v>9964</v>
      </c>
      <c r="F61" s="6" t="inlineStr">
        <is>
          <t>debit</t>
        </is>
      </c>
      <c r="G61" s="6" t="inlineStr">
        <is>
          <t>balance_sheet</t>
        </is>
      </c>
    </row>
    <row r="62">
      <c r="A62" s="6" t="str"/>
      <c r="B62" s="6" t="str"/>
      <c r="C62" s="6" t="str"/>
      <c r="D62" s="6" t="inlineStr">
        <is>
          <t>Tour &amp;Travelling Expenses</t>
        </is>
      </c>
      <c r="E62" s="39" t="n">
        <v>12839</v>
      </c>
      <c r="F62" s="6" t="inlineStr">
        <is>
          <t>debit</t>
        </is>
      </c>
      <c r="G62" s="6" t="inlineStr">
        <is>
          <t>balance_sheet</t>
        </is>
      </c>
    </row>
    <row r="63">
      <c r="A63" s="6" t="str"/>
      <c r="B63" s="6" t="str"/>
      <c r="C63" s="6" t="str"/>
      <c r="D63" s="6" t="inlineStr">
        <is>
          <t>Travelling Expenses</t>
        </is>
      </c>
      <c r="E63" s="39" t="n">
        <v>3000</v>
      </c>
      <c r="F63" s="6" t="inlineStr">
        <is>
          <t>debit</t>
        </is>
      </c>
      <c r="G63" s="6" t="inlineStr">
        <is>
          <t>balance_sheet</t>
        </is>
      </c>
    </row>
    <row r="64">
      <c r="A64" s="34" t="str"/>
      <c r="B64" s="38" t="inlineStr">
        <is>
          <t>Salaries (Admin Mgmt)</t>
        </is>
      </c>
      <c r="C64" s="34" t="str"/>
      <c r="D64" s="34" t="str"/>
      <c r="E64" s="35" t="n">
        <v>457911</v>
      </c>
      <c r="F64" s="34" t="inlineStr">
        <is>
          <t>2 txns</t>
        </is>
      </c>
      <c r="G64" s="34" t="inlineStr">
        <is>
          <t>balance_sheet</t>
        </is>
      </c>
    </row>
    <row r="65">
      <c r="A65" s="6" t="str"/>
      <c r="B65" s="6" t="str"/>
      <c r="C65" s="6" t="str"/>
      <c r="D65" s="6" t="inlineStr">
        <is>
          <t>ESI EMPLOYER CONTRIBUTTION E</t>
        </is>
      </c>
      <c r="E65" s="39" t="n">
        <v>4090</v>
      </c>
      <c r="F65" s="6" t="inlineStr">
        <is>
          <t>debit</t>
        </is>
      </c>
      <c r="G65" s="6" t="inlineStr">
        <is>
          <t>balance_sheet</t>
        </is>
      </c>
    </row>
    <row r="66">
      <c r="A66" s="6" t="str"/>
      <c r="B66" s="6" t="str"/>
      <c r="C66" s="6" t="str"/>
      <c r="D66" s="6" t="inlineStr">
        <is>
          <t>Salary Expenses</t>
        </is>
      </c>
      <c r="E66" s="39" t="n">
        <v>453821</v>
      </c>
      <c r="F66" s="6" t="inlineStr">
        <is>
          <t>debit</t>
        </is>
      </c>
      <c r="G66" s="6" t="inlineStr">
        <is>
          <t>balance_sheet</t>
        </is>
      </c>
    </row>
    <row r="67">
      <c r="A67" s="34" t="str"/>
      <c r="B67" s="38" t="inlineStr">
        <is>
          <t>Staff Welfare &amp; Events</t>
        </is>
      </c>
      <c r="C67" s="34" t="str"/>
      <c r="D67" s="34" t="str"/>
      <c r="E67" s="35" t="n">
        <v>4766</v>
      </c>
      <c r="F67" s="34" t="inlineStr">
        <is>
          <t>1 txns</t>
        </is>
      </c>
      <c r="G67" s="34" t="inlineStr">
        <is>
          <t>balance_sheet</t>
        </is>
      </c>
    </row>
    <row r="68">
      <c r="A68" s="6" t="str"/>
      <c r="B68" s="6" t="str"/>
      <c r="C68" s="6" t="str"/>
      <c r="D68" s="6" t="inlineStr">
        <is>
          <t>STAFF WELFARE EXPENSES</t>
        </is>
      </c>
      <c r="E68" s="39" t="n">
        <v>4766</v>
      </c>
      <c r="F68" s="6" t="inlineStr">
        <is>
          <t>debit</t>
        </is>
      </c>
      <c r="G68" s="6" t="inlineStr">
        <is>
          <t>balance_sheet</t>
        </is>
      </c>
    </row>
    <row r="70">
      <c r="A70" s="24" t="inlineStr">
        <is>
          <t>J. Non-Operating</t>
        </is>
      </c>
      <c r="B70" s="24" t="str"/>
      <c r="C70" s="24" t="str"/>
      <c r="D70" s="24" t="str"/>
      <c r="E70" s="37" t="n">
        <v>53588</v>
      </c>
      <c r="F70" s="24" t="inlineStr">
        <is>
          <t>2 txns</t>
        </is>
      </c>
      <c r="G70" s="24" t="str"/>
    </row>
    <row r="71">
      <c r="A71" s="34" t="str"/>
      <c r="B71" s="38" t="inlineStr">
        <is>
          <t>Less: Interest Expense</t>
        </is>
      </c>
      <c r="C71" s="34" t="str"/>
      <c r="D71" s="34" t="str"/>
      <c r="E71" s="35" t="n">
        <v>53588</v>
      </c>
      <c r="F71" s="34" t="inlineStr">
        <is>
          <t>2 txns</t>
        </is>
      </c>
      <c r="G71" s="34" t="inlineStr">
        <is>
          <t>balance_sheet</t>
        </is>
      </c>
    </row>
    <row r="72">
      <c r="A72" s="6" t="str"/>
      <c r="B72" s="6" t="str"/>
      <c r="C72" s="6" t="str"/>
      <c r="D72" s="6" t="inlineStr">
        <is>
          <t>INTEREST ON CAR LOAN EXPENS</t>
        </is>
      </c>
      <c r="E72" s="39" t="n">
        <v>21167</v>
      </c>
      <c r="F72" s="6" t="inlineStr">
        <is>
          <t>debit</t>
        </is>
      </c>
      <c r="G72" s="6" t="inlineStr">
        <is>
          <t>balance_sheet</t>
        </is>
      </c>
    </row>
    <row r="73">
      <c r="A73" s="6" t="str"/>
      <c r="B73" s="6" t="str"/>
      <c r="C73" s="6" t="str"/>
      <c r="D73" s="6" t="inlineStr">
        <is>
          <t>INTEREST ON OD LIMIT</t>
        </is>
      </c>
      <c r="E73" s="39" t="n">
        <v>32421</v>
      </c>
      <c r="F73" s="6" t="inlineStr">
        <is>
          <t>debit</t>
        </is>
      </c>
      <c r="G73" s="6" t="inlineStr">
        <is>
          <t>balance_sheet</t>
        </is>
      </c>
    </row>
  </sheetData>
  <mergeCells count="1">
    <mergeCell ref="A1:G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cols>
    <col width="25.83203125" customWidth="1" style="2" min="1" max="1"/>
    <col width="30.83203125" customWidth="1" style="2" min="2" max="2"/>
    <col width="12.83203125" customWidth="1" style="2" min="3" max="3"/>
    <col width="45.83203125" customWidth="1" style="2" min="4" max="4"/>
    <col width="15.83203125" customWidth="1" style="2" min="5" max="5"/>
    <col width="10.83203125" customWidth="1" style="2" min="6" max="6"/>
    <col width="15.83203125" customWidth="1" style="2" min="7" max="7"/>
  </cols>
  <sheetData>
    <row r="1">
      <c r="A1" s="40" t="inlineStr">
        <is>
          <t>Oct 2024 - TRANSACTION DETAILS</t>
        </is>
      </c>
    </row>
    <row r="3">
      <c r="A3" s="5" t="inlineStr">
        <is>
          <t>Head</t>
        </is>
      </c>
      <c r="B3" s="5" t="inlineStr">
        <is>
          <t>Subhead</t>
        </is>
      </c>
      <c r="C3" s="5" t="inlineStr">
        <is>
          <t>Date</t>
        </is>
      </c>
      <c r="D3" s="5" t="inlineStr">
        <is>
          <t>Account</t>
        </is>
      </c>
      <c r="E3" s="5" t="inlineStr">
        <is>
          <t>Amount (₹)</t>
        </is>
      </c>
      <c r="F3" s="5" t="inlineStr">
        <is>
          <t>Type</t>
        </is>
      </c>
      <c r="G3" s="5" t="inlineStr">
        <is>
          <t>Source</t>
        </is>
      </c>
    </row>
    <row r="4">
      <c r="A4" s="24" t="inlineStr">
        <is>
          <t>E. COGM</t>
        </is>
      </c>
      <c r="B4" s="24" t="str"/>
      <c r="C4" s="24" t="str"/>
      <c r="D4" s="24" t="str"/>
      <c r="E4" s="37" t="n">
        <v>188024.2</v>
      </c>
      <c r="F4" s="24" t="inlineStr">
        <is>
          <t>7 txns</t>
        </is>
      </c>
      <c r="G4" s="24" t="str"/>
    </row>
    <row r="5">
      <c r="A5" s="34" t="str"/>
      <c r="B5" s="38" t="inlineStr">
        <is>
          <t>Raw Materials &amp; Inventory</t>
        </is>
      </c>
      <c r="C5" s="34" t="str"/>
      <c r="D5" s="34" t="str"/>
      <c r="E5" s="35" t="n">
        <v>1183026.34</v>
      </c>
      <c r="F5" s="34" t="inlineStr">
        <is>
          <t>1 txns</t>
        </is>
      </c>
      <c r="G5" s="34" t="inlineStr">
        <is>
          <t>calculated</t>
        </is>
      </c>
    </row>
    <row r="6">
      <c r="A6" s="6" t="str"/>
      <c r="B6" s="6" t="str"/>
      <c r="C6" s="6" t="str"/>
      <c r="D6" s="6" t="inlineStr">
        <is>
          <t>Raw Materials (Prorated by Revenue)</t>
        </is>
      </c>
      <c r="E6" s="39" t="n">
        <v>1183026.34</v>
      </c>
      <c r="F6" s="6" t="inlineStr">
        <is>
          <t>debit</t>
        </is>
      </c>
      <c r="G6" s="6" t="inlineStr">
        <is>
          <t>calculated</t>
        </is>
      </c>
    </row>
    <row r="7">
      <c r="A7" s="34" t="str"/>
      <c r="B7" s="38" t="inlineStr">
        <is>
          <t>Consumables</t>
        </is>
      </c>
      <c r="C7" s="34" t="str"/>
      <c r="D7" s="34" t="str"/>
      <c r="E7" s="35" t="n">
        <v>6630.8</v>
      </c>
      <c r="F7" s="34" t="inlineStr">
        <is>
          <t>1 txns</t>
        </is>
      </c>
      <c r="G7" s="34" t="inlineStr">
        <is>
          <t>balance_sheet</t>
        </is>
      </c>
    </row>
    <row r="8">
      <c r="A8" s="6" t="str"/>
      <c r="B8" s="6" t="str"/>
      <c r="C8" s="6" t="str"/>
      <c r="D8" s="6" t="inlineStr">
        <is>
          <t>CONSUMABLE EXPENSES @%</t>
        </is>
      </c>
      <c r="E8" s="39" t="n">
        <v>6630.8</v>
      </c>
      <c r="F8" s="6" t="inlineStr">
        <is>
          <t>debit</t>
        </is>
      </c>
      <c r="G8" s="6" t="inlineStr">
        <is>
          <t>balance_sheet</t>
        </is>
      </c>
    </row>
    <row r="9">
      <c r="A9" s="34" t="str"/>
      <c r="B9" s="38" t="inlineStr">
        <is>
          <t>Factory Maintenance</t>
        </is>
      </c>
      <c r="C9" s="34" t="str"/>
      <c r="D9" s="34" t="str"/>
      <c r="E9" s="35" t="n">
        <v>38375</v>
      </c>
      <c r="F9" s="34" t="inlineStr">
        <is>
          <t>2 txns</t>
        </is>
      </c>
      <c r="G9" s="34" t="inlineStr">
        <is>
          <t>balance_sheet</t>
        </is>
      </c>
    </row>
    <row r="10">
      <c r="A10" s="6" t="str"/>
      <c r="B10" s="6" t="str"/>
      <c r="C10" s="6" t="str"/>
      <c r="D10" s="6" t="inlineStr">
        <is>
          <t>Electricity &amp; Water Expenses</t>
        </is>
      </c>
      <c r="E10" s="39" t="n">
        <v>19375</v>
      </c>
      <c r="F10" s="6" t="inlineStr">
        <is>
          <t>debit</t>
        </is>
      </c>
      <c r="G10" s="6" t="inlineStr">
        <is>
          <t>balance_sheet</t>
        </is>
      </c>
    </row>
    <row r="11">
      <c r="A11" s="6" t="str"/>
      <c r="B11" s="6" t="str"/>
      <c r="C11" s="6" t="str"/>
      <c r="D11" s="6" t="inlineStr">
        <is>
          <t>POWER BACKUP &amp; MAITENANCE (D</t>
        </is>
      </c>
      <c r="E11" s="39" t="n">
        <v>19000</v>
      </c>
      <c r="F11" s="6" t="inlineStr">
        <is>
          <t>debit</t>
        </is>
      </c>
      <c r="G11" s="6" t="inlineStr">
        <is>
          <t>balance_sheet</t>
        </is>
      </c>
    </row>
    <row r="12">
      <c r="A12" s="34" t="str"/>
      <c r="B12" s="38" t="inlineStr">
        <is>
          <t>Inbound Transport</t>
        </is>
      </c>
      <c r="C12" s="34" t="str"/>
      <c r="D12" s="34" t="str"/>
      <c r="E12" s="35" t="n">
        <v>4780</v>
      </c>
      <c r="F12" s="34" t="inlineStr">
        <is>
          <t>2 txns</t>
        </is>
      </c>
      <c r="G12" s="34" t="inlineStr">
        <is>
          <t>balance_sheet</t>
        </is>
      </c>
    </row>
    <row r="13">
      <c r="A13" s="6" t="str"/>
      <c r="B13" s="6" t="str"/>
      <c r="C13" s="6" t="str"/>
      <c r="D13" s="6" t="inlineStr">
        <is>
          <t>FREIGHT CHARES @%</t>
        </is>
      </c>
      <c r="E13" s="39" t="n">
        <v>1780</v>
      </c>
      <c r="F13" s="6" t="inlineStr">
        <is>
          <t>debit</t>
        </is>
      </c>
      <c r="G13" s="6" t="inlineStr">
        <is>
          <t>balance_sheet</t>
        </is>
      </c>
    </row>
    <row r="14">
      <c r="A14" s="6" t="str"/>
      <c r="B14" s="6" t="str"/>
      <c r="C14" s="6" t="str"/>
      <c r="D14" s="6" t="inlineStr">
        <is>
          <t>FREIGHT CHARGES@%</t>
        </is>
      </c>
      <c r="E14" s="39" t="n">
        <v>3000</v>
      </c>
      <c r="F14" s="6" t="inlineStr">
        <is>
          <t>debit</t>
        </is>
      </c>
      <c r="G14" s="6" t="inlineStr">
        <is>
          <t>balance_sheet</t>
        </is>
      </c>
    </row>
    <row r="15">
      <c r="A15" s="34" t="str"/>
      <c r="B15" s="38" t="inlineStr">
        <is>
          <t>Job work</t>
        </is>
      </c>
      <c r="C15" s="34" t="str"/>
      <c r="D15" s="34" t="str"/>
      <c r="E15" s="35" t="n">
        <v>133238.4</v>
      </c>
      <c r="F15" s="34" t="inlineStr">
        <is>
          <t>1 txns</t>
        </is>
      </c>
      <c r="G15" s="34" t="inlineStr">
        <is>
          <t>balance_sheet</t>
        </is>
      </c>
    </row>
    <row r="16">
      <c r="A16" s="6" t="str"/>
      <c r="B16" s="6" t="str"/>
      <c r="C16" s="6" t="str"/>
      <c r="D16" s="6" t="inlineStr">
        <is>
          <t>JOB WORK @%</t>
        </is>
      </c>
      <c r="E16" s="39" t="n">
        <v>133238.4</v>
      </c>
      <c r="F16" s="6" t="inlineStr">
        <is>
          <t>debit</t>
        </is>
      </c>
      <c r="G16" s="6" t="inlineStr">
        <is>
          <t>balance_sheet</t>
        </is>
      </c>
    </row>
    <row r="17">
      <c r="A17" s="34" t="str"/>
      <c r="B17" s="38" t="inlineStr">
        <is>
          <t>Manufacturing Wages</t>
        </is>
      </c>
      <c r="C17" s="34" t="str"/>
      <c r="D17" s="34" t="str"/>
      <c r="E17" s="35" t="n">
        <v>5000</v>
      </c>
      <c r="F17" s="34" t="inlineStr">
        <is>
          <t>1 txns</t>
        </is>
      </c>
      <c r="G17" s="34" t="inlineStr">
        <is>
          <t>balance_sheet</t>
        </is>
      </c>
    </row>
    <row r="18">
      <c r="A18" s="6" t="str"/>
      <c r="B18" s="6" t="str"/>
      <c r="C18" s="6" t="str"/>
      <c r="D18" s="6" t="inlineStr">
        <is>
          <t>LABOUR &amp; WAGES EXPENSES</t>
        </is>
      </c>
      <c r="E18" s="39" t="n">
        <v>5000</v>
      </c>
      <c r="F18" s="6" t="inlineStr">
        <is>
          <t>debit</t>
        </is>
      </c>
      <c r="G18" s="6" t="inlineStr">
        <is>
          <t>balance_sheet</t>
        </is>
      </c>
    </row>
    <row r="20">
      <c r="A20" s="24" t="inlineStr">
        <is>
          <t>F. Channel &amp; Fulfillment</t>
        </is>
      </c>
      <c r="B20" s="24" t="str"/>
      <c r="C20" s="24" t="str"/>
      <c r="D20" s="24" t="str"/>
      <c r="E20" s="37" t="n">
        <v>558027.96</v>
      </c>
      <c r="F20" s="24" t="inlineStr">
        <is>
          <t>6 txns</t>
        </is>
      </c>
      <c r="G20" s="24" t="str"/>
    </row>
    <row r="21">
      <c r="A21" s="34" t="str"/>
      <c r="B21" s="38" t="inlineStr">
        <is>
          <t>Amazon Fees</t>
        </is>
      </c>
      <c r="C21" s="34" t="str"/>
      <c r="D21" s="34" t="str"/>
      <c r="E21" s="35" t="n">
        <v>535878.96</v>
      </c>
      <c r="F21" s="34" t="inlineStr">
        <is>
          <t>2 txns</t>
        </is>
      </c>
      <c r="G21" s="34" t="inlineStr">
        <is>
          <t>balance_sheet</t>
        </is>
      </c>
    </row>
    <row r="22">
      <c r="A22" s="6" t="str"/>
      <c r="B22" s="6" t="str"/>
      <c r="C22" s="6" t="str"/>
      <c r="D22" s="6" t="inlineStr">
        <is>
          <t>AMAZON LOGISTICS EXP.</t>
        </is>
      </c>
      <c r="E22" s="39" t="n">
        <v>447286.36</v>
      </c>
      <c r="F22" s="6" t="inlineStr">
        <is>
          <t>debit</t>
        </is>
      </c>
      <c r="G22" s="6" t="inlineStr">
        <is>
          <t>balance_sheet</t>
        </is>
      </c>
    </row>
    <row r="23">
      <c r="A23" s="6" t="str"/>
      <c r="B23" s="6" t="str"/>
      <c r="C23" s="6" t="str"/>
      <c r="D23" s="6" t="inlineStr">
        <is>
          <t>AMAZON LOGISCTICS EXP.</t>
        </is>
      </c>
      <c r="E23" s="39" t="n">
        <v>88592.60000000001</v>
      </c>
      <c r="F23" s="6" t="inlineStr">
        <is>
          <t>debit</t>
        </is>
      </c>
      <c r="G23" s="6" t="inlineStr">
        <is>
          <t>balance_sheet</t>
        </is>
      </c>
    </row>
    <row r="24">
      <c r="A24" s="34" t="str"/>
      <c r="B24" s="38" t="inlineStr">
        <is>
          <t>D2C Fees</t>
        </is>
      </c>
      <c r="C24" s="34" t="str"/>
      <c r="D24" s="34" t="str"/>
      <c r="E24" s="35" t="n">
        <v>22149</v>
      </c>
      <c r="F24" s="34" t="inlineStr">
        <is>
          <t>4 txns</t>
        </is>
      </c>
      <c r="G24" s="34" t="inlineStr">
        <is>
          <t>balance_sheet</t>
        </is>
      </c>
    </row>
    <row r="25">
      <c r="A25" s="6" t="str"/>
      <c r="B25" s="6" t="str"/>
      <c r="C25" s="6" t="str"/>
      <c r="D25" s="6" t="inlineStr">
        <is>
          <t>COURIER &amp; POSTAGE EXPENSE</t>
        </is>
      </c>
      <c r="E25" s="39" t="n">
        <v>4270</v>
      </c>
      <c r="F25" s="6" t="inlineStr">
        <is>
          <t>debit</t>
        </is>
      </c>
      <c r="G25" s="6" t="inlineStr">
        <is>
          <t>balance_sheet</t>
        </is>
      </c>
    </row>
    <row r="26">
      <c r="A26" s="6" t="str"/>
      <c r="B26" s="6" t="str"/>
      <c r="C26" s="6" t="str"/>
      <c r="D26" s="6" t="inlineStr">
        <is>
          <t>Freight &amp; Forwarding Charges</t>
        </is>
      </c>
      <c r="E26" s="39" t="n">
        <v>-729</v>
      </c>
      <c r="F26" s="6" t="inlineStr">
        <is>
          <t>debit</t>
        </is>
      </c>
      <c r="G26" s="6" t="inlineStr">
        <is>
          <t>balance_sheet</t>
        </is>
      </c>
    </row>
    <row r="27">
      <c r="A27" s="6" t="str"/>
      <c r="B27" s="6" t="str"/>
      <c r="C27" s="6" t="str"/>
      <c r="D27" s="6" t="inlineStr">
        <is>
          <t>FREIGHT CHARGE@%</t>
        </is>
      </c>
      <c r="E27" s="39" t="n">
        <v>7640</v>
      </c>
      <c r="F27" s="6" t="inlineStr">
        <is>
          <t>debit</t>
        </is>
      </c>
      <c r="G27" s="6" t="inlineStr">
        <is>
          <t>balance_sheet</t>
        </is>
      </c>
    </row>
    <row r="28">
      <c r="A28" s="6" t="str"/>
      <c r="B28" s="6" t="str"/>
      <c r="C28" s="6" t="str"/>
      <c r="D28" s="6" t="inlineStr">
        <is>
          <t>PORTER DAILY EXP.</t>
        </is>
      </c>
      <c r="E28" s="39" t="n">
        <v>10968</v>
      </c>
      <c r="F28" s="6" t="inlineStr">
        <is>
          <t>debit</t>
        </is>
      </c>
      <c r="G28" s="6" t="inlineStr">
        <is>
          <t>balance_sheet</t>
        </is>
      </c>
    </row>
    <row r="30">
      <c r="A30" s="24" t="inlineStr">
        <is>
          <t>G. Sales &amp; Marketing</t>
        </is>
      </c>
      <c r="B30" s="24" t="str"/>
      <c r="C30" s="24" t="str"/>
      <c r="D30" s="24" t="str"/>
      <c r="E30" s="37" t="n">
        <v>659583.59</v>
      </c>
      <c r="F30" s="24" t="inlineStr">
        <is>
          <t>1 txns</t>
        </is>
      </c>
      <c r="G30" s="24" t="str"/>
    </row>
    <row r="31">
      <c r="A31" s="34" t="str"/>
      <c r="B31" s="38" t="inlineStr">
        <is>
          <t>Advertising &amp; Marketing</t>
        </is>
      </c>
      <c r="C31" s="34" t="str"/>
      <c r="D31" s="34" t="str"/>
      <c r="E31" s="35" t="n">
        <v>659583.59</v>
      </c>
      <c r="F31" s="34" t="inlineStr">
        <is>
          <t>1 txns</t>
        </is>
      </c>
      <c r="G31" s="34" t="inlineStr">
        <is>
          <t>balance_sheet</t>
        </is>
      </c>
    </row>
    <row r="32">
      <c r="A32" s="6" t="str"/>
      <c r="B32" s="6" t="str"/>
      <c r="C32" s="6" t="str"/>
      <c r="D32" s="6" t="inlineStr">
        <is>
          <t>Advertisement &amp; Publicity</t>
        </is>
      </c>
      <c r="E32" s="39" t="n">
        <v>659583.59</v>
      </c>
      <c r="F32" s="6" t="inlineStr">
        <is>
          <t>debit</t>
        </is>
      </c>
      <c r="G32" s="6" t="inlineStr">
        <is>
          <t>balance_sheet</t>
        </is>
      </c>
    </row>
    <row r="34">
      <c r="A34" s="24" t="inlineStr">
        <is>
          <t>I. Operating Expenses</t>
        </is>
      </c>
      <c r="B34" s="24" t="str"/>
      <c r="C34" s="24" t="str"/>
      <c r="D34" s="24" t="str"/>
      <c r="E34" s="37" t="n">
        <v>825608.92</v>
      </c>
      <c r="F34" s="24" t="inlineStr">
        <is>
          <t>30 txns</t>
        </is>
      </c>
      <c r="G34" s="24" t="str"/>
    </row>
    <row r="35">
      <c r="A35" s="34" t="str"/>
      <c r="B35" s="38" t="inlineStr">
        <is>
          <t>Other Operating Expenses</t>
        </is>
      </c>
      <c r="C35" s="34" t="str"/>
      <c r="D35" s="34" t="str"/>
      <c r="E35" s="35" t="n">
        <v>30561.03</v>
      </c>
      <c r="F35" s="34" t="inlineStr">
        <is>
          <t>6 txns</t>
        </is>
      </c>
      <c r="G35" s="34" t="inlineStr">
        <is>
          <t>balance_sheet</t>
        </is>
      </c>
    </row>
    <row r="36">
      <c r="A36" s="6" t="str"/>
      <c r="B36" s="6" t="str"/>
      <c r="C36" s="6" t="str"/>
      <c r="D36" s="6" t="inlineStr">
        <is>
          <t>AVANISH KUMAR (EXP. A/C)</t>
        </is>
      </c>
      <c r="E36" s="39" t="n">
        <v>2190</v>
      </c>
      <c r="F36" s="6" t="inlineStr">
        <is>
          <t>debit</t>
        </is>
      </c>
      <c r="G36" s="6" t="inlineStr">
        <is>
          <t>balance_sheet</t>
        </is>
      </c>
    </row>
    <row r="37">
      <c r="A37" s="6" t="str"/>
      <c r="B37" s="6" t="str"/>
      <c r="C37" s="6" t="str"/>
      <c r="D37" s="6" t="inlineStr">
        <is>
          <t>CONSUMABLES EXPENSES</t>
        </is>
      </c>
      <c r="E37" s="39" t="n">
        <v>2607.64</v>
      </c>
      <c r="F37" s="6" t="inlineStr">
        <is>
          <t>debit</t>
        </is>
      </c>
      <c r="G37" s="6" t="inlineStr">
        <is>
          <t>balance_sheet</t>
        </is>
      </c>
    </row>
    <row r="38">
      <c r="A38" s="6" t="str"/>
      <c r="B38" s="6" t="str"/>
      <c r="C38" s="6" t="str"/>
      <c r="D38" s="6" t="inlineStr">
        <is>
          <t>PRABHASH EXP. A/C</t>
        </is>
      </c>
      <c r="E38" s="39" t="n">
        <v>23287</v>
      </c>
      <c r="F38" s="6" t="inlineStr">
        <is>
          <t>debit</t>
        </is>
      </c>
      <c r="G38" s="6" t="inlineStr">
        <is>
          <t>balance_sheet</t>
        </is>
      </c>
    </row>
    <row r="39">
      <c r="A39" s="6" t="str"/>
      <c r="B39" s="6" t="str"/>
      <c r="C39" s="6" t="str"/>
      <c r="D39" s="6" t="inlineStr">
        <is>
          <t>PRIOR PERIOD EXP.</t>
        </is>
      </c>
      <c r="E39" s="39" t="n">
        <v>75</v>
      </c>
      <c r="F39" s="6" t="inlineStr">
        <is>
          <t>debit</t>
        </is>
      </c>
      <c r="G39" s="6" t="inlineStr">
        <is>
          <t>balance_sheet</t>
        </is>
      </c>
    </row>
    <row r="40">
      <c r="A40" s="6" t="str"/>
      <c r="B40" s="6" t="str"/>
      <c r="C40" s="6" t="str"/>
      <c r="D40" s="6" t="inlineStr">
        <is>
          <t>RATE DIFFERENCE</t>
        </is>
      </c>
      <c r="E40" s="39" t="n">
        <v>2404</v>
      </c>
      <c r="F40" s="6" t="inlineStr">
        <is>
          <t>debit</t>
        </is>
      </c>
      <c r="G40" s="6" t="inlineStr">
        <is>
          <t>balance_sheet</t>
        </is>
      </c>
    </row>
    <row r="41">
      <c r="A41" s="6" t="str"/>
      <c r="B41" s="6" t="str"/>
      <c r="C41" s="6" t="str"/>
      <c r="D41" s="6" t="inlineStr">
        <is>
          <t>Rounded Off</t>
        </is>
      </c>
      <c r="E41" s="39" t="n">
        <v>-2.61</v>
      </c>
      <c r="F41" s="6" t="inlineStr">
        <is>
          <t>debit</t>
        </is>
      </c>
      <c r="G41" s="6" t="inlineStr">
        <is>
          <t>balance_sheet</t>
        </is>
      </c>
    </row>
    <row r="42">
      <c r="A42" s="34" t="str"/>
      <c r="B42" s="38" t="inlineStr">
        <is>
          <t>Banks &amp; Finance Charges</t>
        </is>
      </c>
      <c r="C42" s="34" t="str"/>
      <c r="D42" s="34" t="str"/>
      <c r="E42" s="35" t="n">
        <v>-22455.11</v>
      </c>
      <c r="F42" s="34" t="inlineStr">
        <is>
          <t>4 txns</t>
        </is>
      </c>
      <c r="G42" s="34" t="inlineStr">
        <is>
          <t>balance_sheet</t>
        </is>
      </c>
    </row>
    <row r="43">
      <c r="A43" s="6" t="str"/>
      <c r="B43" s="6" t="str"/>
      <c r="C43" s="6" t="str"/>
      <c r="D43" s="6" t="inlineStr">
        <is>
          <t>BANK CHARGE EXPENCE</t>
        </is>
      </c>
      <c r="E43" s="39" t="n">
        <v>413</v>
      </c>
      <c r="F43" s="6" t="inlineStr">
        <is>
          <t>debit</t>
        </is>
      </c>
      <c r="G43" s="6" t="inlineStr">
        <is>
          <t>balance_sheet</t>
        </is>
      </c>
    </row>
    <row r="44">
      <c r="A44" s="6" t="str"/>
      <c r="B44" s="6" t="str"/>
      <c r="C44" s="6" t="str"/>
      <c r="D44" s="6" t="inlineStr">
        <is>
          <t>Bank Charges@%</t>
        </is>
      </c>
      <c r="E44" s="39" t="n">
        <v>-23961.11</v>
      </c>
      <c r="F44" s="6" t="inlineStr">
        <is>
          <t>debit</t>
        </is>
      </c>
      <c r="G44" s="6" t="inlineStr">
        <is>
          <t>balance_sheet</t>
        </is>
      </c>
    </row>
    <row r="45">
      <c r="A45" s="6" t="str"/>
      <c r="B45" s="6" t="str"/>
      <c r="C45" s="6" t="str"/>
      <c r="D45" s="6" t="inlineStr">
        <is>
          <t>PENALTY CHARGES</t>
        </is>
      </c>
      <c r="E45" s="39" t="n">
        <v>400</v>
      </c>
      <c r="F45" s="6" t="inlineStr">
        <is>
          <t>debit</t>
        </is>
      </c>
      <c r="G45" s="6" t="inlineStr">
        <is>
          <t>balance_sheet</t>
        </is>
      </c>
    </row>
    <row r="46">
      <c r="A46" s="6" t="str"/>
      <c r="B46" s="6" t="str"/>
      <c r="C46" s="6" t="str"/>
      <c r="D46" s="6" t="inlineStr">
        <is>
          <t>Service Charges Paid</t>
        </is>
      </c>
      <c r="E46" s="39" t="n">
        <v>693</v>
      </c>
      <c r="F46" s="6" t="inlineStr">
        <is>
          <t>debit</t>
        </is>
      </c>
      <c r="G46" s="6" t="inlineStr">
        <is>
          <t>balance_sheet</t>
        </is>
      </c>
    </row>
    <row r="47">
      <c r="A47" s="34" t="str"/>
      <c r="B47" s="38" t="inlineStr">
        <is>
          <t>Miscellaneous (Travel, insurance)</t>
        </is>
      </c>
      <c r="C47" s="34" t="str"/>
      <c r="D47" s="34" t="str"/>
      <c r="E47" s="35" t="n">
        <v>24744</v>
      </c>
      <c r="F47" s="34" t="inlineStr">
        <is>
          <t>5 txns</t>
        </is>
      </c>
      <c r="G47" s="34" t="inlineStr">
        <is>
          <t>balance_sheet</t>
        </is>
      </c>
    </row>
    <row r="48">
      <c r="A48" s="6" t="str"/>
      <c r="B48" s="6" t="str"/>
      <c r="C48" s="6" t="str"/>
      <c r="D48" s="6" t="inlineStr">
        <is>
          <t>CONVEYANCE &amp; AUTO CHARGE</t>
        </is>
      </c>
      <c r="E48" s="39" t="n">
        <v>600</v>
      </c>
      <c r="F48" s="6" t="inlineStr">
        <is>
          <t>debit</t>
        </is>
      </c>
      <c r="G48" s="6" t="inlineStr">
        <is>
          <t>balance_sheet</t>
        </is>
      </c>
    </row>
    <row r="49">
      <c r="A49" s="6" t="str"/>
      <c r="B49" s="6" t="str"/>
      <c r="C49" s="6" t="str"/>
      <c r="D49" s="6" t="inlineStr">
        <is>
          <t>Conveyance Expenses</t>
        </is>
      </c>
      <c r="E49" s="39" t="n">
        <v>4585</v>
      </c>
      <c r="F49" s="6" t="inlineStr">
        <is>
          <t>debit</t>
        </is>
      </c>
      <c r="G49" s="6" t="inlineStr">
        <is>
          <t>balance_sheet</t>
        </is>
      </c>
    </row>
    <row r="50">
      <c r="A50" s="6" t="str"/>
      <c r="B50" s="6" t="str"/>
      <c r="C50" s="6" t="str"/>
      <c r="D50" s="6" t="inlineStr">
        <is>
          <t>HOTEL EXPENSES</t>
        </is>
      </c>
      <c r="E50" s="39" t="n">
        <v>9559</v>
      </c>
      <c r="F50" s="6" t="inlineStr">
        <is>
          <t>debit</t>
        </is>
      </c>
      <c r="G50" s="6" t="inlineStr">
        <is>
          <t>balance_sheet</t>
        </is>
      </c>
    </row>
    <row r="51">
      <c r="A51" s="6" t="str"/>
      <c r="B51" s="6" t="str"/>
      <c r="C51" s="6" t="str"/>
      <c r="D51" s="6" t="inlineStr">
        <is>
          <t>Tour &amp;Travelling Expenses</t>
        </is>
      </c>
      <c r="E51" s="39" t="n">
        <v>2000</v>
      </c>
      <c r="F51" s="6" t="inlineStr">
        <is>
          <t>debit</t>
        </is>
      </c>
      <c r="G51" s="6" t="inlineStr">
        <is>
          <t>balance_sheet</t>
        </is>
      </c>
    </row>
    <row r="52">
      <c r="A52" s="6" t="str"/>
      <c r="B52" s="6" t="str"/>
      <c r="C52" s="6" t="str"/>
      <c r="D52" s="6" t="inlineStr">
        <is>
          <t>Travelling Expenses</t>
        </is>
      </c>
      <c r="E52" s="39" t="n">
        <v>8000</v>
      </c>
      <c r="F52" s="6" t="inlineStr">
        <is>
          <t>debit</t>
        </is>
      </c>
      <c r="G52" s="6" t="inlineStr">
        <is>
          <t>balance_sheet</t>
        </is>
      </c>
    </row>
    <row r="53">
      <c r="A53" s="34" t="str"/>
      <c r="B53" s="38" t="inlineStr">
        <is>
          <t>Staff Welfare &amp; Events</t>
        </is>
      </c>
      <c r="C53" s="34" t="str"/>
      <c r="D53" s="34" t="str"/>
      <c r="E53" s="35" t="n">
        <v>56928</v>
      </c>
      <c r="F53" s="34" t="inlineStr">
        <is>
          <t>4 txns</t>
        </is>
      </c>
      <c r="G53" s="34" t="inlineStr">
        <is>
          <t>balance_sheet</t>
        </is>
      </c>
    </row>
    <row r="54">
      <c r="A54" s="6" t="str"/>
      <c r="B54" s="6" t="str"/>
      <c r="C54" s="6" t="str"/>
      <c r="D54" s="6" t="inlineStr">
        <is>
          <t>DIWALI EXP. @ %</t>
        </is>
      </c>
      <c r="E54" s="39" t="n">
        <v>28000</v>
      </c>
      <c r="F54" s="6" t="inlineStr">
        <is>
          <t>debit</t>
        </is>
      </c>
      <c r="G54" s="6" t="inlineStr">
        <is>
          <t>balance_sheet</t>
        </is>
      </c>
    </row>
    <row r="55">
      <c r="A55" s="6" t="str"/>
      <c r="B55" s="6" t="str"/>
      <c r="C55" s="6" t="str"/>
      <c r="D55" s="6" t="inlineStr">
        <is>
          <t>STAFF WELFARE EXPENSES</t>
        </is>
      </c>
      <c r="E55" s="39" t="n">
        <v>1946</v>
      </c>
      <c r="F55" s="6" t="inlineStr">
        <is>
          <t>debit</t>
        </is>
      </c>
      <c r="G55" s="6" t="inlineStr">
        <is>
          <t>balance_sheet</t>
        </is>
      </c>
    </row>
    <row r="56">
      <c r="A56" s="6" t="str"/>
      <c r="B56" s="6" t="str"/>
      <c r="C56" s="6" t="str"/>
      <c r="D56" s="6" t="inlineStr">
        <is>
          <t>Staff Welfare Expenses @%</t>
        </is>
      </c>
      <c r="E56" s="39" t="n">
        <v>50</v>
      </c>
      <c r="F56" s="6" t="inlineStr">
        <is>
          <t>debit</t>
        </is>
      </c>
      <c r="G56" s="6" t="inlineStr">
        <is>
          <t>balance_sheet</t>
        </is>
      </c>
    </row>
    <row r="57">
      <c r="A57" s="6" t="str"/>
      <c r="B57" s="6" t="str"/>
      <c r="C57" s="6" t="str"/>
      <c r="D57" s="6" t="inlineStr">
        <is>
          <t>DIWALI EXP.</t>
        </is>
      </c>
      <c r="E57" s="39" t="n">
        <v>26932</v>
      </c>
      <c r="F57" s="6" t="inlineStr">
        <is>
          <t>debit</t>
        </is>
      </c>
      <c r="G57" s="6" t="inlineStr">
        <is>
          <t>balance_sheet</t>
        </is>
      </c>
    </row>
    <row r="58">
      <c r="A58" s="34" t="str"/>
      <c r="B58" s="38" t="inlineStr">
        <is>
          <t>Salaries (Admin Mgmt)</t>
        </is>
      </c>
      <c r="C58" s="34" t="str"/>
      <c r="D58" s="34" t="str"/>
      <c r="E58" s="35" t="n">
        <v>477559</v>
      </c>
      <c r="F58" s="34" t="inlineStr">
        <is>
          <t>2 txns</t>
        </is>
      </c>
      <c r="G58" s="34" t="inlineStr">
        <is>
          <t>balance_sheet</t>
        </is>
      </c>
    </row>
    <row r="59">
      <c r="A59" s="6" t="str"/>
      <c r="B59" s="6" t="str"/>
      <c r="C59" s="6" t="str"/>
      <c r="D59" s="6" t="inlineStr">
        <is>
          <t>ESI EMPLOYER CONTRIBUTTION E</t>
        </is>
      </c>
      <c r="E59" s="39" t="n">
        <v>3758</v>
      </c>
      <c r="F59" s="6" t="inlineStr">
        <is>
          <t>debit</t>
        </is>
      </c>
      <c r="G59" s="6" t="inlineStr">
        <is>
          <t>balance_sheet</t>
        </is>
      </c>
    </row>
    <row r="60">
      <c r="A60" s="6" t="str"/>
      <c r="B60" s="6" t="str"/>
      <c r="C60" s="6" t="str"/>
      <c r="D60" s="6" t="inlineStr">
        <is>
          <t>Salary Expenses</t>
        </is>
      </c>
      <c r="E60" s="39" t="n">
        <v>473801</v>
      </c>
      <c r="F60" s="6" t="inlineStr">
        <is>
          <t>debit</t>
        </is>
      </c>
      <c r="G60" s="6" t="inlineStr">
        <is>
          <t>balance_sheet</t>
        </is>
      </c>
    </row>
    <row r="61">
      <c r="A61" s="34" t="str"/>
      <c r="B61" s="38" t="inlineStr">
        <is>
          <t>Legal &amp; CA expenses</t>
        </is>
      </c>
      <c r="C61" s="34" t="str"/>
      <c r="D61" s="34" t="str"/>
      <c r="E61" s="35" t="n">
        <v>78880</v>
      </c>
      <c r="F61" s="34" t="inlineStr">
        <is>
          <t>1 txns</t>
        </is>
      </c>
      <c r="G61" s="34" t="inlineStr">
        <is>
          <t>balance_sheet</t>
        </is>
      </c>
    </row>
    <row r="62">
      <c r="A62" s="6" t="str"/>
      <c r="B62" s="6" t="str"/>
      <c r="C62" s="6" t="str"/>
      <c r="D62" s="6" t="inlineStr">
        <is>
          <t>LEGAL &amp; PROFESSIONAL EXPENS</t>
        </is>
      </c>
      <c r="E62" s="39" t="n">
        <v>78880</v>
      </c>
      <c r="F62" s="6" t="inlineStr">
        <is>
          <t>debit</t>
        </is>
      </c>
      <c r="G62" s="6" t="inlineStr">
        <is>
          <t>balance_sheet</t>
        </is>
      </c>
    </row>
    <row r="63">
      <c r="A63" s="34" t="str"/>
      <c r="B63" s="38" t="inlineStr">
        <is>
          <t>Administrative Expenses</t>
        </is>
      </c>
      <c r="C63" s="34" t="str"/>
      <c r="D63" s="34" t="str"/>
      <c r="E63" s="35" t="n">
        <v>179392</v>
      </c>
      <c r="F63" s="34" t="inlineStr">
        <is>
          <t>8 txns</t>
        </is>
      </c>
      <c r="G63" s="34" t="inlineStr">
        <is>
          <t>balance_sheet</t>
        </is>
      </c>
    </row>
    <row r="64">
      <c r="A64" s="6" t="str"/>
      <c r="B64" s="6" t="str"/>
      <c r="C64" s="6" t="str"/>
      <c r="D64" s="6" t="inlineStr">
        <is>
          <t>OFFICE EXPENSES</t>
        </is>
      </c>
      <c r="E64" s="39" t="n">
        <v>2785</v>
      </c>
      <c r="F64" s="6" t="inlineStr">
        <is>
          <t>debit</t>
        </is>
      </c>
      <c r="G64" s="6" t="inlineStr">
        <is>
          <t>balance_sheet</t>
        </is>
      </c>
    </row>
    <row r="65">
      <c r="A65" s="6" t="str"/>
      <c r="B65" s="6" t="str"/>
      <c r="C65" s="6" t="str"/>
      <c r="D65" s="6" t="inlineStr">
        <is>
          <t>OFFICE EXPENSES @ %</t>
        </is>
      </c>
      <c r="E65" s="39" t="n">
        <v>3244</v>
      </c>
      <c r="F65" s="6" t="inlineStr">
        <is>
          <t>debit</t>
        </is>
      </c>
      <c r="G65" s="6" t="inlineStr">
        <is>
          <t>balance_sheet</t>
        </is>
      </c>
    </row>
    <row r="66">
      <c r="A66" s="6" t="str"/>
      <c r="B66" s="6" t="str"/>
      <c r="C66" s="6" t="str"/>
      <c r="D66" s="6" t="inlineStr">
        <is>
          <t>Office Maintenance Expenses</t>
        </is>
      </c>
      <c r="E66" s="39" t="n">
        <v>10000</v>
      </c>
      <c r="F66" s="6" t="inlineStr">
        <is>
          <t>debit</t>
        </is>
      </c>
      <c r="G66" s="6" t="inlineStr">
        <is>
          <t>balance_sheet</t>
        </is>
      </c>
    </row>
    <row r="67">
      <c r="A67" s="6" t="str"/>
      <c r="B67" s="6" t="str"/>
      <c r="C67" s="6" t="str"/>
      <c r="D67" s="6" t="inlineStr">
        <is>
          <t>Office Rent</t>
        </is>
      </c>
      <c r="E67" s="39" t="n">
        <v>144453</v>
      </c>
      <c r="F67" s="6" t="inlineStr">
        <is>
          <t>debit</t>
        </is>
      </c>
      <c r="G67" s="6" t="inlineStr">
        <is>
          <t>balance_sheet</t>
        </is>
      </c>
    </row>
    <row r="68">
      <c r="A68" s="6" t="str"/>
      <c r="B68" s="6" t="str"/>
      <c r="C68" s="6" t="str"/>
      <c r="D68" s="6" t="inlineStr">
        <is>
          <t>Printing &amp; Stationery@%</t>
        </is>
      </c>
      <c r="E68" s="39" t="n">
        <v>8970</v>
      </c>
      <c r="F68" s="6" t="inlineStr">
        <is>
          <t>debit</t>
        </is>
      </c>
      <c r="G68" s="6" t="inlineStr">
        <is>
          <t>balance_sheet</t>
        </is>
      </c>
    </row>
    <row r="69">
      <c r="A69" s="6" t="str"/>
      <c r="B69" s="6" t="str"/>
      <c r="C69" s="6" t="str"/>
      <c r="D69" s="6" t="inlineStr">
        <is>
          <t>PRINTING STATIONERY EXPENSES</t>
        </is>
      </c>
      <c r="E69" s="39" t="n">
        <v>680</v>
      </c>
      <c r="F69" s="6" t="inlineStr">
        <is>
          <t>debit</t>
        </is>
      </c>
      <c r="G69" s="6" t="inlineStr">
        <is>
          <t>balance_sheet</t>
        </is>
      </c>
    </row>
    <row r="70">
      <c r="A70" s="6" t="str"/>
      <c r="B70" s="6" t="str"/>
      <c r="C70" s="6" t="str"/>
      <c r="D70" s="6" t="inlineStr">
        <is>
          <t>REPAIRE &amp; MAINTENANCE EXPENS</t>
        </is>
      </c>
      <c r="E70" s="39" t="n">
        <v>8860</v>
      </c>
      <c r="F70" s="6" t="inlineStr">
        <is>
          <t>debit</t>
        </is>
      </c>
      <c r="G70" s="6" t="inlineStr">
        <is>
          <t>balance_sheet</t>
        </is>
      </c>
    </row>
    <row r="71">
      <c r="A71" s="6" t="str"/>
      <c r="B71" s="6" t="str"/>
      <c r="C71" s="6" t="str"/>
      <c r="D71" s="6" t="inlineStr">
        <is>
          <t>VEHICAL RUNING MAINTENANCE</t>
        </is>
      </c>
      <c r="E71" s="39" t="n">
        <v>400</v>
      </c>
      <c r="F71" s="6" t="inlineStr">
        <is>
          <t>debit</t>
        </is>
      </c>
      <c r="G71" s="6" t="inlineStr">
        <is>
          <t>balance_sheet</t>
        </is>
      </c>
    </row>
    <row r="73">
      <c r="A73" s="24" t="inlineStr">
        <is>
          <t>J. Non-Operating</t>
        </is>
      </c>
      <c r="B73" s="24" t="str"/>
      <c r="C73" s="24" t="str"/>
      <c r="D73" s="24" t="str"/>
      <c r="E73" s="37" t="n">
        <v>52408</v>
      </c>
      <c r="F73" s="24" t="inlineStr">
        <is>
          <t>2 txns</t>
        </is>
      </c>
      <c r="G73" s="24" t="str"/>
    </row>
    <row r="74">
      <c r="A74" s="34" t="str"/>
      <c r="B74" s="38" t="inlineStr">
        <is>
          <t>Less: Interest Expense</t>
        </is>
      </c>
      <c r="C74" s="34" t="str"/>
      <c r="D74" s="34" t="str"/>
      <c r="E74" s="35" t="n">
        <v>52408</v>
      </c>
      <c r="F74" s="34" t="inlineStr">
        <is>
          <t>2 txns</t>
        </is>
      </c>
      <c r="G74" s="34" t="inlineStr">
        <is>
          <t>balance_sheet</t>
        </is>
      </c>
    </row>
    <row r="75">
      <c r="A75" s="6" t="str"/>
      <c r="B75" s="6" t="str"/>
      <c r="C75" s="6" t="str"/>
      <c r="D75" s="6" t="inlineStr">
        <is>
          <t>INTEREST ON CAR LOAN EXPENS</t>
        </is>
      </c>
      <c r="E75" s="39" t="n">
        <v>21411</v>
      </c>
      <c r="F75" s="6" t="inlineStr">
        <is>
          <t>debit</t>
        </is>
      </c>
      <c r="G75" s="6" t="inlineStr">
        <is>
          <t>balance_sheet</t>
        </is>
      </c>
    </row>
    <row r="76">
      <c r="A76" s="6" t="str"/>
      <c r="B76" s="6" t="str"/>
      <c r="C76" s="6" t="str"/>
      <c r="D76" s="6" t="inlineStr">
        <is>
          <t>INTEREST ON OD LIMIT</t>
        </is>
      </c>
      <c r="E76" s="39" t="n">
        <v>30997</v>
      </c>
      <c r="F76" s="6" t="inlineStr">
        <is>
          <t>debit</t>
        </is>
      </c>
      <c r="G76" s="6" t="inlineStr">
        <is>
          <t>balance_sheet</t>
        </is>
      </c>
    </row>
  </sheetData>
  <mergeCells count="1">
    <mergeCell ref="A1:G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25.83203125" customWidth="1" style="2" min="1" max="1"/>
    <col width="30.83203125" customWidth="1" style="2" min="2" max="2"/>
    <col width="12.83203125" customWidth="1" style="2" min="3" max="3"/>
    <col width="45.83203125" customWidth="1" style="2" min="4" max="4"/>
    <col width="15.83203125" customWidth="1" style="2" min="5" max="5"/>
    <col width="10.83203125" customWidth="1" style="2" min="6" max="6"/>
    <col width="15.83203125" customWidth="1" style="2" min="7" max="7"/>
  </cols>
  <sheetData>
    <row r="1">
      <c r="A1" s="40" t="inlineStr">
        <is>
          <t>Sep 2024 - TRANSACTION DETAILS</t>
        </is>
      </c>
    </row>
    <row r="3">
      <c r="A3" s="5" t="inlineStr">
        <is>
          <t>Head</t>
        </is>
      </c>
      <c r="B3" s="5" t="inlineStr">
        <is>
          <t>Subhead</t>
        </is>
      </c>
      <c r="C3" s="5" t="inlineStr">
        <is>
          <t>Date</t>
        </is>
      </c>
      <c r="D3" s="5" t="inlineStr">
        <is>
          <t>Account</t>
        </is>
      </c>
      <c r="E3" s="5" t="inlineStr">
        <is>
          <t>Amount (₹)</t>
        </is>
      </c>
      <c r="F3" s="5" t="inlineStr">
        <is>
          <t>Type</t>
        </is>
      </c>
      <c r="G3" s="5" t="inlineStr">
        <is>
          <t>Source</t>
        </is>
      </c>
    </row>
    <row r="4">
      <c r="A4" s="24" t="inlineStr">
        <is>
          <t>E. COGM</t>
        </is>
      </c>
      <c r="B4" s="24" t="str"/>
      <c r="C4" s="24" t="str"/>
      <c r="D4" s="24" t="str"/>
      <c r="E4" s="37" t="n">
        <v>134283</v>
      </c>
      <c r="F4" s="24" t="inlineStr">
        <is>
          <t>5 txns</t>
        </is>
      </c>
      <c r="G4" s="24" t="str"/>
    </row>
    <row r="5">
      <c r="A5" s="34" t="str"/>
      <c r="B5" s="38" t="inlineStr">
        <is>
          <t>Raw Materials &amp; Inventory</t>
        </is>
      </c>
      <c r="C5" s="34" t="str"/>
      <c r="D5" s="34" t="str"/>
      <c r="E5" s="35" t="n">
        <v>1185299.36</v>
      </c>
      <c r="F5" s="34" t="inlineStr">
        <is>
          <t>1 txns</t>
        </is>
      </c>
      <c r="G5" s="34" t="inlineStr">
        <is>
          <t>calculated</t>
        </is>
      </c>
    </row>
    <row r="6">
      <c r="A6" s="6" t="str"/>
      <c r="B6" s="6" t="str"/>
      <c r="C6" s="6" t="str"/>
      <c r="D6" s="6" t="inlineStr">
        <is>
          <t>Raw Materials (Prorated by Revenue)</t>
        </is>
      </c>
      <c r="E6" s="39" t="n">
        <v>1185299.36</v>
      </c>
      <c r="F6" s="6" t="inlineStr">
        <is>
          <t>debit</t>
        </is>
      </c>
      <c r="G6" s="6" t="inlineStr">
        <is>
          <t>calculated</t>
        </is>
      </c>
    </row>
    <row r="7">
      <c r="A7" s="34" t="str"/>
      <c r="B7" s="38" t="inlineStr">
        <is>
          <t>Consumables</t>
        </is>
      </c>
      <c r="C7" s="34" t="str"/>
      <c r="D7" s="34" t="str"/>
      <c r="E7" s="35" t="n">
        <v>8430</v>
      </c>
      <c r="F7" s="34" t="inlineStr">
        <is>
          <t>1 txns</t>
        </is>
      </c>
      <c r="G7" s="34" t="inlineStr">
        <is>
          <t>balance_sheet</t>
        </is>
      </c>
    </row>
    <row r="8">
      <c r="A8" s="6" t="str"/>
      <c r="B8" s="6" t="str"/>
      <c r="C8" s="6" t="str"/>
      <c r="D8" s="6" t="inlineStr">
        <is>
          <t>CONSUMABLE EXPENSES @%</t>
        </is>
      </c>
      <c r="E8" s="39" t="n">
        <v>8430</v>
      </c>
      <c r="F8" s="6" t="inlineStr">
        <is>
          <t>debit</t>
        </is>
      </c>
      <c r="G8" s="6" t="inlineStr">
        <is>
          <t>balance_sheet</t>
        </is>
      </c>
    </row>
    <row r="9">
      <c r="A9" s="34" t="str"/>
      <c r="B9" s="38" t="inlineStr">
        <is>
          <t>Inbound Transport</t>
        </is>
      </c>
      <c r="C9" s="34" t="str"/>
      <c r="D9" s="34" t="str"/>
      <c r="E9" s="35" t="n">
        <v>1850</v>
      </c>
      <c r="F9" s="34" t="inlineStr">
        <is>
          <t>1 txns</t>
        </is>
      </c>
      <c r="G9" s="34" t="inlineStr">
        <is>
          <t>balance_sheet</t>
        </is>
      </c>
    </row>
    <row r="10">
      <c r="A10" s="6" t="str"/>
      <c r="B10" s="6" t="str"/>
      <c r="C10" s="6" t="str"/>
      <c r="D10" s="6" t="inlineStr">
        <is>
          <t>FREIGHT CHARES @%</t>
        </is>
      </c>
      <c r="E10" s="39" t="n">
        <v>1850</v>
      </c>
      <c r="F10" s="6" t="inlineStr">
        <is>
          <t>debit</t>
        </is>
      </c>
      <c r="G10" s="6" t="inlineStr">
        <is>
          <t>balance_sheet</t>
        </is>
      </c>
    </row>
    <row r="11">
      <c r="A11" s="34" t="str"/>
      <c r="B11" s="38" t="inlineStr">
        <is>
          <t>Job work</t>
        </is>
      </c>
      <c r="C11" s="34" t="str"/>
      <c r="D11" s="34" t="str"/>
      <c r="E11" s="35" t="n">
        <v>100003</v>
      </c>
      <c r="F11" s="34" t="inlineStr">
        <is>
          <t>1 txns</t>
        </is>
      </c>
      <c r="G11" s="34" t="inlineStr">
        <is>
          <t>balance_sheet</t>
        </is>
      </c>
    </row>
    <row r="12">
      <c r="A12" s="6" t="str"/>
      <c r="B12" s="6" t="str"/>
      <c r="C12" s="6" t="str"/>
      <c r="D12" s="6" t="inlineStr">
        <is>
          <t>JOB WORK @%</t>
        </is>
      </c>
      <c r="E12" s="39" t="n">
        <v>100003</v>
      </c>
      <c r="F12" s="6" t="inlineStr">
        <is>
          <t>debit</t>
        </is>
      </c>
      <c r="G12" s="6" t="inlineStr">
        <is>
          <t>balance_sheet</t>
        </is>
      </c>
    </row>
    <row r="13">
      <c r="A13" s="34" t="str"/>
      <c r="B13" s="38" t="inlineStr">
        <is>
          <t>Manufacturing Wages</t>
        </is>
      </c>
      <c r="C13" s="34" t="str"/>
      <c r="D13" s="34" t="str"/>
      <c r="E13" s="35" t="n">
        <v>5000</v>
      </c>
      <c r="F13" s="34" t="inlineStr">
        <is>
          <t>1 txns</t>
        </is>
      </c>
      <c r="G13" s="34" t="inlineStr">
        <is>
          <t>balance_sheet</t>
        </is>
      </c>
    </row>
    <row r="14">
      <c r="A14" s="6" t="str"/>
      <c r="B14" s="6" t="str"/>
      <c r="C14" s="6" t="str"/>
      <c r="D14" s="6" t="inlineStr">
        <is>
          <t>LABOUR &amp; WAGES EXPENSES</t>
        </is>
      </c>
      <c r="E14" s="39" t="n">
        <v>5000</v>
      </c>
      <c r="F14" s="6" t="inlineStr">
        <is>
          <t>debit</t>
        </is>
      </c>
      <c r="G14" s="6" t="inlineStr">
        <is>
          <t>balance_sheet</t>
        </is>
      </c>
    </row>
    <row r="15">
      <c r="A15" s="34" t="str"/>
      <c r="B15" s="38" t="inlineStr">
        <is>
          <t>Factory Maintenance</t>
        </is>
      </c>
      <c r="C15" s="34" t="str"/>
      <c r="D15" s="34" t="str"/>
      <c r="E15" s="35" t="n">
        <v>19000</v>
      </c>
      <c r="F15" s="34" t="inlineStr">
        <is>
          <t>1 txns</t>
        </is>
      </c>
      <c r="G15" s="34" t="inlineStr">
        <is>
          <t>balance_sheet</t>
        </is>
      </c>
    </row>
    <row r="16">
      <c r="A16" s="6" t="str"/>
      <c r="B16" s="6" t="str"/>
      <c r="C16" s="6" t="str"/>
      <c r="D16" s="6" t="inlineStr">
        <is>
          <t>POWER BACKUP &amp; MAITENANCE (D</t>
        </is>
      </c>
      <c r="E16" s="39" t="n">
        <v>19000</v>
      </c>
      <c r="F16" s="6" t="inlineStr">
        <is>
          <t>debit</t>
        </is>
      </c>
      <c r="G16" s="6" t="inlineStr">
        <is>
          <t>balance_sheet</t>
        </is>
      </c>
    </row>
    <row r="18">
      <c r="A18" s="24" t="inlineStr">
        <is>
          <t>F. Channel &amp; Fulfillment</t>
        </is>
      </c>
      <c r="B18" s="24" t="str"/>
      <c r="C18" s="24" t="str"/>
      <c r="D18" s="24" t="str"/>
      <c r="E18" s="37" t="n">
        <v>8099</v>
      </c>
      <c r="F18" s="24" t="inlineStr">
        <is>
          <t>2 txns</t>
        </is>
      </c>
      <c r="G18" s="24" t="str"/>
    </row>
    <row r="19">
      <c r="A19" s="34" t="str"/>
      <c r="B19" s="38" t="inlineStr">
        <is>
          <t>D2C Fees</t>
        </is>
      </c>
      <c r="C19" s="34" t="str"/>
      <c r="D19" s="34" t="str"/>
      <c r="E19" s="35" t="n">
        <v>8099</v>
      </c>
      <c r="F19" s="34" t="inlineStr">
        <is>
          <t>2 txns</t>
        </is>
      </c>
      <c r="G19" s="34" t="inlineStr">
        <is>
          <t>balance_sheet</t>
        </is>
      </c>
    </row>
    <row r="20">
      <c r="A20" s="6" t="str"/>
      <c r="B20" s="6" t="str"/>
      <c r="C20" s="6" t="str"/>
      <c r="D20" s="6" t="inlineStr">
        <is>
          <t>Freight &amp; Forwarding Charges</t>
        </is>
      </c>
      <c r="E20" s="39" t="n">
        <v>100</v>
      </c>
      <c r="F20" s="6" t="inlineStr">
        <is>
          <t>debit</t>
        </is>
      </c>
      <c r="G20" s="6" t="inlineStr">
        <is>
          <t>balance_sheet</t>
        </is>
      </c>
    </row>
    <row r="21">
      <c r="A21" s="6" t="str"/>
      <c r="B21" s="6" t="str"/>
      <c r="C21" s="6" t="str"/>
      <c r="D21" s="6" t="inlineStr">
        <is>
          <t>FREIGHT CHARGE@%</t>
        </is>
      </c>
      <c r="E21" s="39" t="n">
        <v>7999</v>
      </c>
      <c r="F21" s="6" t="inlineStr">
        <is>
          <t>debit</t>
        </is>
      </c>
      <c r="G21" s="6" t="inlineStr">
        <is>
          <t>balance_sheet</t>
        </is>
      </c>
    </row>
    <row r="23">
      <c r="A23" s="24" t="inlineStr">
        <is>
          <t>G. Sales &amp; Marketing</t>
        </is>
      </c>
      <c r="B23" s="24" t="str"/>
      <c r="C23" s="24" t="str"/>
      <c r="D23" s="24" t="str"/>
      <c r="E23" s="37" t="n">
        <v>1095349.58</v>
      </c>
      <c r="F23" s="24" t="inlineStr">
        <is>
          <t>3 txns</t>
        </is>
      </c>
      <c r="G23" s="24" t="str"/>
    </row>
    <row r="24">
      <c r="A24" s="34" t="str"/>
      <c r="B24" s="38" t="inlineStr">
        <is>
          <t>Advertising &amp; Marketing</t>
        </is>
      </c>
      <c r="C24" s="34" t="str"/>
      <c r="D24" s="34" t="str"/>
      <c r="E24" s="35" t="n">
        <v>1095349.58</v>
      </c>
      <c r="F24" s="34" t="inlineStr">
        <is>
          <t>3 txns</t>
        </is>
      </c>
      <c r="G24" s="34" t="inlineStr">
        <is>
          <t>balance_sheet</t>
        </is>
      </c>
    </row>
    <row r="25">
      <c r="A25" s="6" t="str"/>
      <c r="B25" s="6" t="str"/>
      <c r="C25" s="6" t="str"/>
      <c r="D25" s="6" t="inlineStr">
        <is>
          <t>Advertisement &amp; Publicity</t>
        </is>
      </c>
      <c r="E25" s="39" t="n">
        <v>556844.8199999999</v>
      </c>
      <c r="F25" s="6" t="inlineStr">
        <is>
          <t>debit</t>
        </is>
      </c>
      <c r="G25" s="6" t="inlineStr">
        <is>
          <t>balance_sheet</t>
        </is>
      </c>
    </row>
    <row r="26">
      <c r="A26" s="6" t="str"/>
      <c r="B26" s="6" t="str"/>
      <c r="C26" s="6" t="str"/>
      <c r="D26" s="6" t="inlineStr">
        <is>
          <t>BUSINESS PROMOTION EXPENSES@</t>
        </is>
      </c>
      <c r="E26" s="39" t="n">
        <v>409143.09</v>
      </c>
      <c r="F26" s="6" t="inlineStr">
        <is>
          <t>debit</t>
        </is>
      </c>
      <c r="G26" s="6" t="inlineStr">
        <is>
          <t>balance_sheet</t>
        </is>
      </c>
    </row>
    <row r="27">
      <c r="A27" s="6" t="str"/>
      <c r="B27" s="6" t="str"/>
      <c r="C27" s="6" t="str"/>
      <c r="D27" s="6" t="inlineStr">
        <is>
          <t>BUSINESS PROMOTION EXPENSES</t>
        </is>
      </c>
      <c r="E27" s="39" t="n">
        <v>129361.67</v>
      </c>
      <c r="F27" s="6" t="inlineStr">
        <is>
          <t>debit</t>
        </is>
      </c>
      <c r="G27" s="6" t="inlineStr">
        <is>
          <t>balance_sheet</t>
        </is>
      </c>
    </row>
    <row r="29">
      <c r="A29" s="24" t="inlineStr">
        <is>
          <t>I. Operating Expenses</t>
        </is>
      </c>
      <c r="B29" s="24" t="str"/>
      <c r="C29" s="24" t="str"/>
      <c r="D29" s="24" t="str"/>
      <c r="E29" s="37" t="n">
        <v>856986.22</v>
      </c>
      <c r="F29" s="24" t="inlineStr">
        <is>
          <t>21 txns</t>
        </is>
      </c>
      <c r="G29" s="24" t="str"/>
    </row>
    <row r="30">
      <c r="A30" s="34" t="str"/>
      <c r="B30" s="38" t="inlineStr">
        <is>
          <t>Banks &amp; Finance Charges</t>
        </is>
      </c>
      <c r="C30" s="34" t="str"/>
      <c r="D30" s="34" t="str"/>
      <c r="E30" s="35" t="n">
        <v>400</v>
      </c>
      <c r="F30" s="34" t="inlineStr">
        <is>
          <t>1 txns</t>
        </is>
      </c>
      <c r="G30" s="34" t="inlineStr">
        <is>
          <t>balance_sheet</t>
        </is>
      </c>
    </row>
    <row r="31">
      <c r="A31" s="6" t="str"/>
      <c r="B31" s="6" t="str"/>
      <c r="C31" s="6" t="str"/>
      <c r="D31" s="6" t="inlineStr">
        <is>
          <t>Bank Charges@%</t>
        </is>
      </c>
      <c r="E31" s="39" t="n">
        <v>400</v>
      </c>
      <c r="F31" s="6" t="inlineStr">
        <is>
          <t>debit</t>
        </is>
      </c>
      <c r="G31" s="6" t="inlineStr">
        <is>
          <t>balance_sheet</t>
        </is>
      </c>
    </row>
    <row r="32">
      <c r="A32" s="34" t="str"/>
      <c r="B32" s="38" t="inlineStr">
        <is>
          <t>Other Operating Expenses</t>
        </is>
      </c>
      <c r="C32" s="34" t="str"/>
      <c r="D32" s="34" t="str"/>
      <c r="E32" s="35" t="n">
        <v>43087.67</v>
      </c>
      <c r="F32" s="34" t="inlineStr">
        <is>
          <t>4 txns</t>
        </is>
      </c>
      <c r="G32" s="34" t="inlineStr">
        <is>
          <t>balance_sheet</t>
        </is>
      </c>
    </row>
    <row r="33">
      <c r="A33" s="6" t="str"/>
      <c r="B33" s="6" t="str"/>
      <c r="C33" s="6" t="str"/>
      <c r="D33" s="6" t="inlineStr">
        <is>
          <t>CALLIBRATION SEVICES EXP.</t>
        </is>
      </c>
      <c r="E33" s="39" t="n">
        <v>29950</v>
      </c>
      <c r="F33" s="6" t="inlineStr">
        <is>
          <t>debit</t>
        </is>
      </c>
      <c r="G33" s="6" t="inlineStr">
        <is>
          <t>balance_sheet</t>
        </is>
      </c>
    </row>
    <row r="34">
      <c r="A34" s="6" t="str"/>
      <c r="B34" s="6" t="str"/>
      <c r="C34" s="6" t="str"/>
      <c r="D34" s="6" t="inlineStr">
        <is>
          <t>CONSUMABLES EXPENSES</t>
        </is>
      </c>
      <c r="E34" s="39" t="n">
        <v>1285</v>
      </c>
      <c r="F34" s="6" t="inlineStr">
        <is>
          <t>debit</t>
        </is>
      </c>
      <c r="G34" s="6" t="inlineStr">
        <is>
          <t>balance_sheet</t>
        </is>
      </c>
    </row>
    <row r="35">
      <c r="A35" s="6" t="str"/>
      <c r="B35" s="6" t="str"/>
      <c r="C35" s="6" t="str"/>
      <c r="D35" s="6" t="inlineStr">
        <is>
          <t>Rounded Off</t>
        </is>
      </c>
      <c r="E35" s="39" t="n">
        <v>2.67</v>
      </c>
      <c r="F35" s="6" t="inlineStr">
        <is>
          <t>debit</t>
        </is>
      </c>
      <c r="G35" s="6" t="inlineStr">
        <is>
          <t>balance_sheet</t>
        </is>
      </c>
    </row>
    <row r="36">
      <c r="A36" s="6" t="str"/>
      <c r="B36" s="6" t="str"/>
      <c r="C36" s="6" t="str"/>
      <c r="D36" s="6" t="inlineStr">
        <is>
          <t>TRANSPOTATION EXPENSES</t>
        </is>
      </c>
      <c r="E36" s="39" t="n">
        <v>11850</v>
      </c>
      <c r="F36" s="6" t="inlineStr">
        <is>
          <t>debit</t>
        </is>
      </c>
      <c r="G36" s="6" t="inlineStr">
        <is>
          <t>balance_sheet</t>
        </is>
      </c>
    </row>
    <row r="37">
      <c r="A37" s="34" t="str"/>
      <c r="B37" s="38" t="inlineStr">
        <is>
          <t>Administrative Expenses</t>
        </is>
      </c>
      <c r="C37" s="34" t="str"/>
      <c r="D37" s="34" t="str"/>
      <c r="E37" s="35" t="n">
        <v>254434.55</v>
      </c>
      <c r="F37" s="34" t="inlineStr">
        <is>
          <t>9 txns</t>
        </is>
      </c>
      <c r="G37" s="34" t="inlineStr">
        <is>
          <t>balance_sheet</t>
        </is>
      </c>
    </row>
    <row r="38">
      <c r="A38" s="6" t="str"/>
      <c r="B38" s="6" t="str"/>
      <c r="C38" s="6" t="str"/>
      <c r="D38" s="6" t="inlineStr">
        <is>
          <t>COMMUNICATION EXP.</t>
        </is>
      </c>
      <c r="E38" s="39" t="n">
        <v>1600</v>
      </c>
      <c r="F38" s="6" t="inlineStr">
        <is>
          <t>debit</t>
        </is>
      </c>
      <c r="G38" s="6" t="inlineStr">
        <is>
          <t>balance_sheet</t>
        </is>
      </c>
    </row>
    <row r="39">
      <c r="A39" s="6" t="str"/>
      <c r="B39" s="6" t="str"/>
      <c r="C39" s="6" t="str"/>
      <c r="D39" s="6" t="inlineStr">
        <is>
          <t>OFFICE EXPENSES</t>
        </is>
      </c>
      <c r="E39" s="39" t="n">
        <v>50</v>
      </c>
      <c r="F39" s="6" t="inlineStr">
        <is>
          <t>debit</t>
        </is>
      </c>
      <c r="G39" s="6" t="inlineStr">
        <is>
          <t>balance_sheet</t>
        </is>
      </c>
    </row>
    <row r="40">
      <c r="A40" s="6" t="str"/>
      <c r="B40" s="6" t="str"/>
      <c r="C40" s="6" t="str"/>
      <c r="D40" s="6" t="inlineStr">
        <is>
          <t>Office Rent</t>
        </is>
      </c>
      <c r="E40" s="39" t="n">
        <v>134375</v>
      </c>
      <c r="F40" s="6" t="inlineStr">
        <is>
          <t>debit</t>
        </is>
      </c>
      <c r="G40" s="6" t="inlineStr">
        <is>
          <t>balance_sheet</t>
        </is>
      </c>
    </row>
    <row r="41">
      <c r="A41" s="6" t="str"/>
      <c r="B41" s="6" t="str"/>
      <c r="C41" s="6" t="str"/>
      <c r="D41" s="6" t="inlineStr">
        <is>
          <t>Printing &amp; Stationery@%</t>
        </is>
      </c>
      <c r="E41" s="39" t="n">
        <v>260</v>
      </c>
      <c r="F41" s="6" t="inlineStr">
        <is>
          <t>debit</t>
        </is>
      </c>
      <c r="G41" s="6" t="inlineStr">
        <is>
          <t>balance_sheet</t>
        </is>
      </c>
    </row>
    <row r="42">
      <c r="A42" s="6" t="str"/>
      <c r="B42" s="6" t="str"/>
      <c r="C42" s="6" t="str"/>
      <c r="D42" s="6" t="inlineStr">
        <is>
          <t>Printing &amp; Stationery@%</t>
        </is>
      </c>
      <c r="E42" s="39" t="n">
        <v>16325</v>
      </c>
      <c r="F42" s="6" t="inlineStr">
        <is>
          <t>debit</t>
        </is>
      </c>
      <c r="G42" s="6" t="inlineStr">
        <is>
          <t>balance_sheet</t>
        </is>
      </c>
    </row>
    <row r="43">
      <c r="A43" s="6" t="str"/>
      <c r="B43" s="6" t="str"/>
      <c r="C43" s="6" t="str"/>
      <c r="D43" s="6" t="inlineStr">
        <is>
          <t>PRINTING STATIONERY EXPENSES</t>
        </is>
      </c>
      <c r="E43" s="39" t="n">
        <v>4580</v>
      </c>
      <c r="F43" s="6" t="inlineStr">
        <is>
          <t>debit</t>
        </is>
      </c>
      <c r="G43" s="6" t="inlineStr">
        <is>
          <t>balance_sheet</t>
        </is>
      </c>
    </row>
    <row r="44">
      <c r="A44" s="6" t="str"/>
      <c r="B44" s="6" t="str"/>
      <c r="C44" s="6" t="str"/>
      <c r="D44" s="6" t="inlineStr">
        <is>
          <t>REPAIRE &amp; MAINTENANCE EXPENS</t>
        </is>
      </c>
      <c r="E44" s="39" t="n">
        <v>23000</v>
      </c>
      <c r="F44" s="6" t="inlineStr">
        <is>
          <t>debit</t>
        </is>
      </c>
      <c r="G44" s="6" t="inlineStr">
        <is>
          <t>balance_sheet</t>
        </is>
      </c>
    </row>
    <row r="45">
      <c r="A45" s="6" t="str"/>
      <c r="B45" s="6" t="str"/>
      <c r="C45" s="6" t="str"/>
      <c r="D45" s="6" t="inlineStr">
        <is>
          <t>REPAIRE &amp; MAINTENANCE EXPENS</t>
        </is>
      </c>
      <c r="E45" s="39" t="n">
        <v>68389.84</v>
      </c>
      <c r="F45" s="6" t="inlineStr">
        <is>
          <t>debit</t>
        </is>
      </c>
      <c r="G45" s="6" t="inlineStr">
        <is>
          <t>balance_sheet</t>
        </is>
      </c>
    </row>
    <row r="46">
      <c r="A46" s="6" t="str"/>
      <c r="B46" s="6" t="str"/>
      <c r="C46" s="6" t="str"/>
      <c r="D46" s="6" t="inlineStr">
        <is>
          <t>VEHICAL RUNING MAINTENANCE</t>
        </is>
      </c>
      <c r="E46" s="39" t="n">
        <v>5854.71</v>
      </c>
      <c r="F46" s="6" t="inlineStr">
        <is>
          <t>debit</t>
        </is>
      </c>
      <c r="G46" s="6" t="inlineStr">
        <is>
          <t>balance_sheet</t>
        </is>
      </c>
    </row>
    <row r="47">
      <c r="A47" s="34" t="str"/>
      <c r="B47" s="38" t="inlineStr">
        <is>
          <t>Salaries (Admin Mgmt)</t>
        </is>
      </c>
      <c r="C47" s="34" t="str"/>
      <c r="D47" s="34" t="str"/>
      <c r="E47" s="35" t="n">
        <v>447317</v>
      </c>
      <c r="F47" s="34" t="inlineStr">
        <is>
          <t>2 txns</t>
        </is>
      </c>
      <c r="G47" s="34" t="inlineStr">
        <is>
          <t>balance_sheet</t>
        </is>
      </c>
    </row>
    <row r="48">
      <c r="A48" s="6" t="str"/>
      <c r="B48" s="6" t="str"/>
      <c r="C48" s="6" t="str"/>
      <c r="D48" s="6" t="inlineStr">
        <is>
          <t>ESI EMPLOYER CONTRIBUTTION E</t>
        </is>
      </c>
      <c r="E48" s="39" t="n">
        <v>4207</v>
      </c>
      <c r="F48" s="6" t="inlineStr">
        <is>
          <t>debit</t>
        </is>
      </c>
      <c r="G48" s="6" t="inlineStr">
        <is>
          <t>balance_sheet</t>
        </is>
      </c>
    </row>
    <row r="49">
      <c r="A49" s="6" t="str"/>
      <c r="B49" s="6" t="str"/>
      <c r="C49" s="6" t="str"/>
      <c r="D49" s="6" t="inlineStr">
        <is>
          <t>Salary Expenses</t>
        </is>
      </c>
      <c r="E49" s="39" t="n">
        <v>443110</v>
      </c>
      <c r="F49" s="6" t="inlineStr">
        <is>
          <t>debit</t>
        </is>
      </c>
      <c r="G49" s="6" t="inlineStr">
        <is>
          <t>balance_sheet</t>
        </is>
      </c>
    </row>
    <row r="50">
      <c r="A50" s="34" t="str"/>
      <c r="B50" s="38" t="inlineStr">
        <is>
          <t>Miscellaneous (Travel, insurance)</t>
        </is>
      </c>
      <c r="C50" s="34" t="str"/>
      <c r="D50" s="34" t="str"/>
      <c r="E50" s="35" t="n">
        <v>7795</v>
      </c>
      <c r="F50" s="34" t="inlineStr">
        <is>
          <t>3 txns</t>
        </is>
      </c>
      <c r="G50" s="34" t="inlineStr">
        <is>
          <t>balance_sheet</t>
        </is>
      </c>
    </row>
    <row r="51">
      <c r="A51" s="6" t="str"/>
      <c r="B51" s="6" t="str"/>
      <c r="C51" s="6" t="str"/>
      <c r="D51" s="6" t="inlineStr">
        <is>
          <t>HOTEL EXPENSES</t>
        </is>
      </c>
      <c r="E51" s="39" t="n">
        <v>3571</v>
      </c>
      <c r="F51" s="6" t="inlineStr">
        <is>
          <t>debit</t>
        </is>
      </c>
      <c r="G51" s="6" t="inlineStr">
        <is>
          <t>balance_sheet</t>
        </is>
      </c>
    </row>
    <row r="52">
      <c r="A52" s="6" t="str"/>
      <c r="B52" s="6" t="str"/>
      <c r="C52" s="6" t="str"/>
      <c r="D52" s="6" t="inlineStr">
        <is>
          <t>Tour &amp;Travelling Expenses</t>
        </is>
      </c>
      <c r="E52" s="39" t="n">
        <v>4000</v>
      </c>
      <c r="F52" s="6" t="inlineStr">
        <is>
          <t>debit</t>
        </is>
      </c>
      <c r="G52" s="6" t="inlineStr">
        <is>
          <t>balance_sheet</t>
        </is>
      </c>
    </row>
    <row r="53">
      <c r="A53" s="6" t="str"/>
      <c r="B53" s="6" t="str"/>
      <c r="C53" s="6" t="str"/>
      <c r="D53" s="6" t="inlineStr">
        <is>
          <t>Travelling Expenses</t>
        </is>
      </c>
      <c r="E53" s="39" t="n">
        <v>224</v>
      </c>
      <c r="F53" s="6" t="inlineStr">
        <is>
          <t>debit</t>
        </is>
      </c>
      <c r="G53" s="6" t="inlineStr">
        <is>
          <t>balance_sheet</t>
        </is>
      </c>
    </row>
    <row r="54">
      <c r="A54" s="34" t="str"/>
      <c r="B54" s="38" t="inlineStr">
        <is>
          <t>Legal &amp; CA expenses</t>
        </is>
      </c>
      <c r="C54" s="34" t="str"/>
      <c r="D54" s="34" t="str"/>
      <c r="E54" s="35" t="n">
        <v>100500</v>
      </c>
      <c r="F54" s="34" t="inlineStr">
        <is>
          <t>1 txns</t>
        </is>
      </c>
      <c r="G54" s="34" t="inlineStr">
        <is>
          <t>balance_sheet</t>
        </is>
      </c>
    </row>
    <row r="55">
      <c r="A55" s="6" t="str"/>
      <c r="B55" s="6" t="str"/>
      <c r="C55" s="6" t="str"/>
      <c r="D55" s="6" t="inlineStr">
        <is>
          <t>LEGAL &amp; PROFESSIONAL EXPENS</t>
        </is>
      </c>
      <c r="E55" s="39" t="n">
        <v>100500</v>
      </c>
      <c r="F55" s="6" t="inlineStr">
        <is>
          <t>debit</t>
        </is>
      </c>
      <c r="G55" s="6" t="inlineStr">
        <is>
          <t>balance_sheet</t>
        </is>
      </c>
    </row>
    <row r="56">
      <c r="A56" s="34" t="str"/>
      <c r="B56" s="38" t="inlineStr">
        <is>
          <t>Staff Welfare &amp; Events</t>
        </is>
      </c>
      <c r="C56" s="34" t="str"/>
      <c r="D56" s="34" t="str"/>
      <c r="E56" s="35" t="n">
        <v>3452</v>
      </c>
      <c r="F56" s="34" t="inlineStr">
        <is>
          <t>1 txns</t>
        </is>
      </c>
      <c r="G56" s="34" t="inlineStr">
        <is>
          <t>balance_sheet</t>
        </is>
      </c>
    </row>
    <row r="57">
      <c r="A57" s="6" t="str"/>
      <c r="B57" s="6" t="str"/>
      <c r="C57" s="6" t="str"/>
      <c r="D57" s="6" t="inlineStr">
        <is>
          <t>STAFF WELFARE EXPENSES</t>
        </is>
      </c>
      <c r="E57" s="39" t="n">
        <v>3452</v>
      </c>
      <c r="F57" s="6" t="inlineStr">
        <is>
          <t>debit</t>
        </is>
      </c>
      <c r="G57" s="6" t="inlineStr">
        <is>
          <t>balance_sheet</t>
        </is>
      </c>
    </row>
    <row r="59">
      <c r="A59" s="24" t="inlineStr">
        <is>
          <t>J. Non-Operating</t>
        </is>
      </c>
      <c r="B59" s="24" t="str"/>
      <c r="C59" s="24" t="str"/>
      <c r="D59" s="24" t="str"/>
      <c r="E59" s="37" t="n">
        <v>50173</v>
      </c>
      <c r="F59" s="24" t="inlineStr">
        <is>
          <t>2 txns</t>
        </is>
      </c>
      <c r="G59" s="24" t="str"/>
    </row>
    <row r="60">
      <c r="A60" s="34" t="str"/>
      <c r="B60" s="38" t="inlineStr">
        <is>
          <t>Less: Interest Expense</t>
        </is>
      </c>
      <c r="C60" s="34" t="str"/>
      <c r="D60" s="34" t="str"/>
      <c r="E60" s="35" t="n">
        <v>50173</v>
      </c>
      <c r="F60" s="34" t="inlineStr">
        <is>
          <t>2 txns</t>
        </is>
      </c>
      <c r="G60" s="34" t="inlineStr">
        <is>
          <t>balance_sheet</t>
        </is>
      </c>
    </row>
    <row r="61">
      <c r="A61" s="6" t="str"/>
      <c r="B61" s="6" t="str"/>
      <c r="C61" s="6" t="str"/>
      <c r="D61" s="6" t="inlineStr">
        <is>
          <t>INTEREST ON CAR LOAN EXPENS</t>
        </is>
      </c>
      <c r="E61" s="39" t="n">
        <v>21652</v>
      </c>
      <c r="F61" s="6" t="inlineStr">
        <is>
          <t>debit</t>
        </is>
      </c>
      <c r="G61" s="6" t="inlineStr">
        <is>
          <t>balance_sheet</t>
        </is>
      </c>
    </row>
    <row r="62">
      <c r="A62" s="6" t="str"/>
      <c r="B62" s="6" t="str"/>
      <c r="C62" s="6" t="str"/>
      <c r="D62" s="6" t="inlineStr">
        <is>
          <t>INTEREST ON OD LIMIT</t>
        </is>
      </c>
      <c r="E62" s="39" t="n">
        <v>28521</v>
      </c>
      <c r="F62" s="6" t="inlineStr">
        <is>
          <t>debit</t>
        </is>
      </c>
      <c r="G62" s="6" t="inlineStr">
        <is>
          <t>balance_sheet</t>
        </is>
      </c>
    </row>
  </sheetData>
  <mergeCells count="1">
    <mergeCell ref="A1:G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25.83203125" customWidth="1" style="2" min="1" max="1"/>
    <col width="30.83203125" customWidth="1" style="2" min="2" max="2"/>
    <col width="12.83203125" customWidth="1" style="2" min="3" max="3"/>
    <col width="45.83203125" customWidth="1" style="2" min="4" max="4"/>
    <col width="15.83203125" customWidth="1" style="2" min="5" max="5"/>
    <col width="10.83203125" customWidth="1" style="2" min="6" max="6"/>
    <col width="15.83203125" customWidth="1" style="2" min="7" max="7"/>
  </cols>
  <sheetData>
    <row r="1">
      <c r="A1" s="40" t="inlineStr">
        <is>
          <t>Aug 2024 - TRANSACTION DETAILS</t>
        </is>
      </c>
    </row>
    <row r="3">
      <c r="A3" s="5" t="inlineStr">
        <is>
          <t>Head</t>
        </is>
      </c>
      <c r="B3" s="5" t="inlineStr">
        <is>
          <t>Subhead</t>
        </is>
      </c>
      <c r="C3" s="5" t="inlineStr">
        <is>
          <t>Date</t>
        </is>
      </c>
      <c r="D3" s="5" t="inlineStr">
        <is>
          <t>Account</t>
        </is>
      </c>
      <c r="E3" s="5" t="inlineStr">
        <is>
          <t>Amount (₹)</t>
        </is>
      </c>
      <c r="F3" s="5" t="inlineStr">
        <is>
          <t>Type</t>
        </is>
      </c>
      <c r="G3" s="5" t="inlineStr">
        <is>
          <t>Source</t>
        </is>
      </c>
    </row>
    <row r="4">
      <c r="A4" s="24" t="inlineStr">
        <is>
          <t>E. COGM</t>
        </is>
      </c>
      <c r="B4" s="24" t="str"/>
      <c r="C4" s="24" t="str"/>
      <c r="D4" s="24" t="str"/>
      <c r="E4" s="37" t="n">
        <v>121462</v>
      </c>
      <c r="F4" s="24" t="inlineStr">
        <is>
          <t>6 txns</t>
        </is>
      </c>
      <c r="G4" s="24" t="str"/>
    </row>
    <row r="5">
      <c r="A5" s="34" t="str"/>
      <c r="B5" s="38" t="inlineStr">
        <is>
          <t>Raw Materials &amp; Inventory</t>
        </is>
      </c>
      <c r="C5" s="34" t="str"/>
      <c r="D5" s="34" t="str"/>
      <c r="E5" s="35" t="n">
        <v>838538.76</v>
      </c>
      <c r="F5" s="34" t="inlineStr">
        <is>
          <t>1 txns</t>
        </is>
      </c>
      <c r="G5" s="34" t="inlineStr">
        <is>
          <t>calculated</t>
        </is>
      </c>
    </row>
    <row r="6">
      <c r="A6" s="6" t="str"/>
      <c r="B6" s="6" t="str"/>
      <c r="C6" s="6" t="str"/>
      <c r="D6" s="6" t="inlineStr">
        <is>
          <t>Raw Materials (Prorated by Revenue)</t>
        </is>
      </c>
      <c r="E6" s="39" t="n">
        <v>838538.76</v>
      </c>
      <c r="F6" s="6" t="inlineStr">
        <is>
          <t>debit</t>
        </is>
      </c>
      <c r="G6" s="6" t="inlineStr">
        <is>
          <t>calculated</t>
        </is>
      </c>
    </row>
    <row r="7">
      <c r="A7" s="34" t="str"/>
      <c r="B7" s="38" t="inlineStr">
        <is>
          <t>Consumables</t>
        </is>
      </c>
      <c r="C7" s="34" t="str"/>
      <c r="D7" s="34" t="str"/>
      <c r="E7" s="35" t="n">
        <v>4470</v>
      </c>
      <c r="F7" s="34" t="inlineStr">
        <is>
          <t>1 txns</t>
        </is>
      </c>
      <c r="G7" s="34" t="inlineStr">
        <is>
          <t>balance_sheet</t>
        </is>
      </c>
    </row>
    <row r="8">
      <c r="A8" s="6" t="str"/>
      <c r="B8" s="6" t="str"/>
      <c r="C8" s="6" t="str"/>
      <c r="D8" s="6" t="inlineStr">
        <is>
          <t>CONSUMABLE EXPENSES @%</t>
        </is>
      </c>
      <c r="E8" s="39" t="n">
        <v>4470</v>
      </c>
      <c r="F8" s="6" t="inlineStr">
        <is>
          <t>debit</t>
        </is>
      </c>
      <c r="G8" s="6" t="inlineStr">
        <is>
          <t>balance_sheet</t>
        </is>
      </c>
    </row>
    <row r="9">
      <c r="A9" s="34" t="str"/>
      <c r="B9" s="38" t="inlineStr">
        <is>
          <t>Factory Maintenance</t>
        </is>
      </c>
      <c r="C9" s="34" t="str"/>
      <c r="D9" s="34" t="str"/>
      <c r="E9" s="35" t="n">
        <v>39892</v>
      </c>
      <c r="F9" s="34" t="inlineStr">
        <is>
          <t>2 txns</t>
        </is>
      </c>
      <c r="G9" s="34" t="inlineStr">
        <is>
          <t>balance_sheet</t>
        </is>
      </c>
    </row>
    <row r="10">
      <c r="A10" s="6" t="str"/>
      <c r="B10" s="6" t="str"/>
      <c r="C10" s="6" t="str"/>
      <c r="D10" s="6" t="inlineStr">
        <is>
          <t>Electricity &amp; Water Expenses</t>
        </is>
      </c>
      <c r="E10" s="39" t="n">
        <v>20892</v>
      </c>
      <c r="F10" s="6" t="inlineStr">
        <is>
          <t>debit</t>
        </is>
      </c>
      <c r="G10" s="6" t="inlineStr">
        <is>
          <t>balance_sheet</t>
        </is>
      </c>
    </row>
    <row r="11">
      <c r="A11" s="6" t="str"/>
      <c r="B11" s="6" t="str"/>
      <c r="C11" s="6" t="str"/>
      <c r="D11" s="6" t="inlineStr">
        <is>
          <t>POWER BACKUP &amp; MAITENANCE (D</t>
        </is>
      </c>
      <c r="E11" s="39" t="n">
        <v>19000</v>
      </c>
      <c r="F11" s="6" t="inlineStr">
        <is>
          <t>debit</t>
        </is>
      </c>
      <c r="G11" s="6" t="inlineStr">
        <is>
          <t>balance_sheet</t>
        </is>
      </c>
    </row>
    <row r="12">
      <c r="A12" s="34" t="str"/>
      <c r="B12" s="38" t="inlineStr">
        <is>
          <t>Inbound Transport</t>
        </is>
      </c>
      <c r="C12" s="34" t="str"/>
      <c r="D12" s="34" t="str"/>
      <c r="E12" s="35" t="n">
        <v>1100</v>
      </c>
      <c r="F12" s="34" t="inlineStr">
        <is>
          <t>1 txns</t>
        </is>
      </c>
      <c r="G12" s="34" t="inlineStr">
        <is>
          <t>balance_sheet</t>
        </is>
      </c>
    </row>
    <row r="13">
      <c r="A13" s="6" t="str"/>
      <c r="B13" s="6" t="str"/>
      <c r="C13" s="6" t="str"/>
      <c r="D13" s="6" t="inlineStr">
        <is>
          <t>FREIGHT CHARES @%</t>
        </is>
      </c>
      <c r="E13" s="39" t="n">
        <v>1100</v>
      </c>
      <c r="F13" s="6" t="inlineStr">
        <is>
          <t>debit</t>
        </is>
      </c>
      <c r="G13" s="6" t="inlineStr">
        <is>
          <t>balance_sheet</t>
        </is>
      </c>
    </row>
    <row r="14">
      <c r="A14" s="34" t="str"/>
      <c r="B14" s="38" t="inlineStr">
        <is>
          <t>Job work</t>
        </is>
      </c>
      <c r="C14" s="34" t="str"/>
      <c r="D14" s="34" t="str"/>
      <c r="E14" s="35" t="n">
        <v>72000</v>
      </c>
      <c r="F14" s="34" t="inlineStr">
        <is>
          <t>1 txns</t>
        </is>
      </c>
      <c r="G14" s="34" t="inlineStr">
        <is>
          <t>balance_sheet</t>
        </is>
      </c>
    </row>
    <row r="15">
      <c r="A15" s="6" t="str"/>
      <c r="B15" s="6" t="str"/>
      <c r="C15" s="6" t="str"/>
      <c r="D15" s="6" t="inlineStr">
        <is>
          <t>JOB WORK @%</t>
        </is>
      </c>
      <c r="E15" s="39" t="n">
        <v>72000</v>
      </c>
      <c r="F15" s="6" t="inlineStr">
        <is>
          <t>debit</t>
        </is>
      </c>
      <c r="G15" s="6" t="inlineStr">
        <is>
          <t>balance_sheet</t>
        </is>
      </c>
    </row>
    <row r="16">
      <c r="A16" s="34" t="str"/>
      <c r="B16" s="38" t="inlineStr">
        <is>
          <t>Manufacturing Wages</t>
        </is>
      </c>
      <c r="C16" s="34" t="str"/>
      <c r="D16" s="34" t="str"/>
      <c r="E16" s="35" t="n">
        <v>4000</v>
      </c>
      <c r="F16" s="34" t="inlineStr">
        <is>
          <t>1 txns</t>
        </is>
      </c>
      <c r="G16" s="34" t="inlineStr">
        <is>
          <t>balance_sheet</t>
        </is>
      </c>
    </row>
    <row r="17">
      <c r="A17" s="6" t="str"/>
      <c r="B17" s="6" t="str"/>
      <c r="C17" s="6" t="str"/>
      <c r="D17" s="6" t="inlineStr">
        <is>
          <t>LABOUR &amp; WAGES EXPENSES</t>
        </is>
      </c>
      <c r="E17" s="39" t="n">
        <v>4000</v>
      </c>
      <c r="F17" s="6" t="inlineStr">
        <is>
          <t>debit</t>
        </is>
      </c>
      <c r="G17" s="6" t="inlineStr">
        <is>
          <t>balance_sheet</t>
        </is>
      </c>
    </row>
    <row r="19">
      <c r="A19" s="24" t="inlineStr">
        <is>
          <t>F. Channel &amp; Fulfillment</t>
        </is>
      </c>
      <c r="B19" s="24" t="str"/>
      <c r="C19" s="24" t="str"/>
      <c r="D19" s="24" t="str"/>
      <c r="E19" s="37" t="n">
        <v>6221</v>
      </c>
      <c r="F19" s="24" t="inlineStr">
        <is>
          <t>4 txns</t>
        </is>
      </c>
      <c r="G19" s="24" t="str"/>
    </row>
    <row r="20">
      <c r="A20" s="34" t="str"/>
      <c r="B20" s="38" t="inlineStr">
        <is>
          <t>D2C Fees</t>
        </is>
      </c>
      <c r="C20" s="34" t="str"/>
      <c r="D20" s="34" t="str"/>
      <c r="E20" s="35" t="n">
        <v>6221</v>
      </c>
      <c r="F20" s="34" t="inlineStr">
        <is>
          <t>4 txns</t>
        </is>
      </c>
      <c r="G20" s="34" t="inlineStr">
        <is>
          <t>balance_sheet</t>
        </is>
      </c>
    </row>
    <row r="21">
      <c r="A21" s="6" t="str"/>
      <c r="B21" s="6" t="str"/>
      <c r="C21" s="6" t="str"/>
      <c r="D21" s="6" t="inlineStr">
        <is>
          <t>COURIER &amp; POSTAGE EXPENSE</t>
        </is>
      </c>
      <c r="E21" s="39" t="n">
        <v>160</v>
      </c>
      <c r="F21" s="6" t="inlineStr">
        <is>
          <t>debit</t>
        </is>
      </c>
      <c r="G21" s="6" t="inlineStr">
        <is>
          <t>balance_sheet</t>
        </is>
      </c>
    </row>
    <row r="22">
      <c r="A22" s="6" t="str"/>
      <c r="B22" s="6" t="str"/>
      <c r="C22" s="6" t="str"/>
      <c r="D22" s="6" t="inlineStr">
        <is>
          <t>Freight &amp; Forwarding Charges</t>
        </is>
      </c>
      <c r="E22" s="39" t="n">
        <v>-252</v>
      </c>
      <c r="F22" s="6" t="inlineStr">
        <is>
          <t>debit</t>
        </is>
      </c>
      <c r="G22" s="6" t="inlineStr">
        <is>
          <t>balance_sheet</t>
        </is>
      </c>
    </row>
    <row r="23">
      <c r="A23" s="6" t="str"/>
      <c r="B23" s="6" t="str"/>
      <c r="C23" s="6" t="str"/>
      <c r="D23" s="6" t="inlineStr">
        <is>
          <t>FREIGHT CHARGE@%</t>
        </is>
      </c>
      <c r="E23" s="39" t="n">
        <v>4313</v>
      </c>
      <c r="F23" s="6" t="inlineStr">
        <is>
          <t>debit</t>
        </is>
      </c>
      <c r="G23" s="6" t="inlineStr">
        <is>
          <t>balance_sheet</t>
        </is>
      </c>
    </row>
    <row r="24">
      <c r="A24" s="6" t="str"/>
      <c r="B24" s="6" t="str"/>
      <c r="C24" s="6" t="str"/>
      <c r="D24" s="6" t="inlineStr">
        <is>
          <t>PORTER DAILY EXP.</t>
        </is>
      </c>
      <c r="E24" s="39" t="n">
        <v>2000</v>
      </c>
      <c r="F24" s="6" t="inlineStr">
        <is>
          <t>debit</t>
        </is>
      </c>
      <c r="G24" s="6" t="inlineStr">
        <is>
          <t>balance_sheet</t>
        </is>
      </c>
    </row>
    <row r="26">
      <c r="A26" s="24" t="inlineStr">
        <is>
          <t>G. Sales &amp; Marketing</t>
        </is>
      </c>
      <c r="B26" s="24" t="str"/>
      <c r="C26" s="24" t="str"/>
      <c r="D26" s="24" t="str"/>
      <c r="E26" s="37" t="n">
        <v>780988.0600000001</v>
      </c>
      <c r="F26" s="24" t="inlineStr">
        <is>
          <t>3 txns</t>
        </is>
      </c>
      <c r="G26" s="24" t="str"/>
    </row>
    <row r="27">
      <c r="A27" s="34" t="str"/>
      <c r="B27" s="38" t="inlineStr">
        <is>
          <t>Advertising &amp; Marketing</t>
        </is>
      </c>
      <c r="C27" s="34" t="str"/>
      <c r="D27" s="34" t="str"/>
      <c r="E27" s="35" t="n">
        <v>780988.0600000001</v>
      </c>
      <c r="F27" s="34" t="inlineStr">
        <is>
          <t>3 txns</t>
        </is>
      </c>
      <c r="G27" s="34" t="inlineStr">
        <is>
          <t>balance_sheet</t>
        </is>
      </c>
    </row>
    <row r="28">
      <c r="A28" s="6" t="str"/>
      <c r="B28" s="6" t="str"/>
      <c r="C28" s="6" t="str"/>
      <c r="D28" s="6" t="inlineStr">
        <is>
          <t>Advertisement &amp; Publicity</t>
        </is>
      </c>
      <c r="E28" s="39" t="n">
        <v>346647.13</v>
      </c>
      <c r="F28" s="6" t="inlineStr">
        <is>
          <t>debit</t>
        </is>
      </c>
      <c r="G28" s="6" t="inlineStr">
        <is>
          <t>balance_sheet</t>
        </is>
      </c>
    </row>
    <row r="29">
      <c r="A29" s="6" t="str"/>
      <c r="B29" s="6" t="str"/>
      <c r="C29" s="6" t="str"/>
      <c r="D29" s="6" t="inlineStr">
        <is>
          <t>BUSINESS PROMOTION EXPENSES@</t>
        </is>
      </c>
      <c r="E29" s="39" t="n">
        <v>315007.03</v>
      </c>
      <c r="F29" s="6" t="inlineStr">
        <is>
          <t>debit</t>
        </is>
      </c>
      <c r="G29" s="6" t="inlineStr">
        <is>
          <t>balance_sheet</t>
        </is>
      </c>
    </row>
    <row r="30">
      <c r="A30" s="6" t="str"/>
      <c r="B30" s="6" t="str"/>
      <c r="C30" s="6" t="str"/>
      <c r="D30" s="6" t="inlineStr">
        <is>
          <t>BUSINESS PROMOTION EXPENSES</t>
        </is>
      </c>
      <c r="E30" s="39" t="n">
        <v>119333.9</v>
      </c>
      <c r="F30" s="6" t="inlineStr">
        <is>
          <t>debit</t>
        </is>
      </c>
      <c r="G30" s="6" t="inlineStr">
        <is>
          <t>balance_sheet</t>
        </is>
      </c>
    </row>
    <row r="32">
      <c r="A32" s="24" t="inlineStr">
        <is>
          <t>I. Operating Expenses</t>
        </is>
      </c>
      <c r="B32" s="24" t="str"/>
      <c r="C32" s="24" t="str"/>
      <c r="D32" s="24" t="str"/>
      <c r="E32" s="37" t="n">
        <v>564941.3</v>
      </c>
      <c r="F32" s="24" t="inlineStr">
        <is>
          <t>18 txns</t>
        </is>
      </c>
      <c r="G32" s="24" t="str"/>
    </row>
    <row r="33">
      <c r="A33" s="34" t="str"/>
      <c r="B33" s="38" t="inlineStr">
        <is>
          <t>Banks &amp; Finance Charges</t>
        </is>
      </c>
      <c r="C33" s="34" t="str"/>
      <c r="D33" s="34" t="str"/>
      <c r="E33" s="35" t="n">
        <v>174.7</v>
      </c>
      <c r="F33" s="34" t="inlineStr">
        <is>
          <t>1 txns</t>
        </is>
      </c>
      <c r="G33" s="34" t="inlineStr">
        <is>
          <t>balance_sheet</t>
        </is>
      </c>
    </row>
    <row r="34">
      <c r="A34" s="6" t="str"/>
      <c r="B34" s="6" t="str"/>
      <c r="C34" s="6" t="str"/>
      <c r="D34" s="6" t="inlineStr">
        <is>
          <t>BANK CHARGE EXPENCE</t>
        </is>
      </c>
      <c r="E34" s="39" t="n">
        <v>174.7</v>
      </c>
      <c r="F34" s="6" t="inlineStr">
        <is>
          <t>debit</t>
        </is>
      </c>
      <c r="G34" s="6" t="inlineStr">
        <is>
          <t>balance_sheet</t>
        </is>
      </c>
    </row>
    <row r="35">
      <c r="A35" s="34" t="str"/>
      <c r="B35" s="38" t="inlineStr">
        <is>
          <t>Administrative Expenses</t>
        </is>
      </c>
      <c r="C35" s="34" t="str"/>
      <c r="D35" s="34" t="str"/>
      <c r="E35" s="35" t="n">
        <v>182203.04</v>
      </c>
      <c r="F35" s="34" t="inlineStr">
        <is>
          <t>10 txns</t>
        </is>
      </c>
      <c r="G35" s="34" t="inlineStr">
        <is>
          <t>balance_sheet</t>
        </is>
      </c>
    </row>
    <row r="36">
      <c r="A36" s="6" t="str"/>
      <c r="B36" s="6" t="str"/>
      <c r="C36" s="6" t="str"/>
      <c r="D36" s="6" t="inlineStr">
        <is>
          <t>COMMUNICATION EXP.</t>
        </is>
      </c>
      <c r="E36" s="39" t="n">
        <v>349</v>
      </c>
      <c r="F36" s="6" t="inlineStr">
        <is>
          <t>debit</t>
        </is>
      </c>
      <c r="G36" s="6" t="inlineStr">
        <is>
          <t>balance_sheet</t>
        </is>
      </c>
    </row>
    <row r="37">
      <c r="A37" s="6" t="str"/>
      <c r="B37" s="6" t="str"/>
      <c r="C37" s="6" t="str"/>
      <c r="D37" s="6" t="inlineStr">
        <is>
          <t>HOUSE KEEPING EXPENSES@%</t>
        </is>
      </c>
      <c r="E37" s="39" t="n">
        <v>2500</v>
      </c>
      <c r="F37" s="6" t="inlineStr">
        <is>
          <t>debit</t>
        </is>
      </c>
      <c r="G37" s="6" t="inlineStr">
        <is>
          <t>balance_sheet</t>
        </is>
      </c>
    </row>
    <row r="38">
      <c r="A38" s="6" t="str"/>
      <c r="B38" s="6" t="str"/>
      <c r="C38" s="6" t="str"/>
      <c r="D38" s="6" t="inlineStr">
        <is>
          <t>OFFICE EXPENSES</t>
        </is>
      </c>
      <c r="E38" s="39" t="n">
        <v>2500</v>
      </c>
      <c r="F38" s="6" t="inlineStr">
        <is>
          <t>debit</t>
        </is>
      </c>
      <c r="G38" s="6" t="inlineStr">
        <is>
          <t>balance_sheet</t>
        </is>
      </c>
    </row>
    <row r="39">
      <c r="A39" s="6" t="str"/>
      <c r="B39" s="6" t="str"/>
      <c r="C39" s="6" t="str"/>
      <c r="D39" s="6" t="inlineStr">
        <is>
          <t>Office Rent</t>
        </is>
      </c>
      <c r="E39" s="39" t="n">
        <v>134375</v>
      </c>
      <c r="F39" s="6" t="inlineStr">
        <is>
          <t>debit</t>
        </is>
      </c>
      <c r="G39" s="6" t="inlineStr">
        <is>
          <t>balance_sheet</t>
        </is>
      </c>
    </row>
    <row r="40">
      <c r="A40" s="6" t="str"/>
      <c r="B40" s="6" t="str"/>
      <c r="C40" s="6" t="str"/>
      <c r="D40" s="6" t="inlineStr">
        <is>
          <t>Printing &amp; Stationery@%</t>
        </is>
      </c>
      <c r="E40" s="39" t="n">
        <v>15711.5</v>
      </c>
      <c r="F40" s="6" t="inlineStr">
        <is>
          <t>debit</t>
        </is>
      </c>
      <c r="G40" s="6" t="inlineStr">
        <is>
          <t>balance_sheet</t>
        </is>
      </c>
    </row>
    <row r="41">
      <c r="A41" s="6" t="str"/>
      <c r="B41" s="6" t="str"/>
      <c r="C41" s="6" t="str"/>
      <c r="D41" s="6" t="inlineStr">
        <is>
          <t>PRINTING STATIONERY EXPENSES</t>
        </is>
      </c>
      <c r="E41" s="39" t="n">
        <v>4500</v>
      </c>
      <c r="F41" s="6" t="inlineStr">
        <is>
          <t>debit</t>
        </is>
      </c>
      <c r="G41" s="6" t="inlineStr">
        <is>
          <t>balance_sheet</t>
        </is>
      </c>
    </row>
    <row r="42">
      <c r="A42" s="6" t="str"/>
      <c r="B42" s="6" t="str"/>
      <c r="C42" s="6" t="str"/>
      <c r="D42" s="6" t="inlineStr">
        <is>
          <t>REPAIRE &amp; MAINTENANCE EXPENS</t>
        </is>
      </c>
      <c r="E42" s="39" t="n">
        <v>10637</v>
      </c>
      <c r="F42" s="6" t="inlineStr">
        <is>
          <t>debit</t>
        </is>
      </c>
      <c r="G42" s="6" t="inlineStr">
        <is>
          <t>balance_sheet</t>
        </is>
      </c>
    </row>
    <row r="43">
      <c r="A43" s="6" t="str"/>
      <c r="B43" s="6" t="str"/>
      <c r="C43" s="6" t="str"/>
      <c r="D43" s="6" t="inlineStr">
        <is>
          <t>REPAIRE &amp; MAINTENANCE EXPENS</t>
        </is>
      </c>
      <c r="E43" s="39" t="n">
        <v>2288.14</v>
      </c>
      <c r="F43" s="6" t="inlineStr">
        <is>
          <t>debit</t>
        </is>
      </c>
      <c r="G43" s="6" t="inlineStr">
        <is>
          <t>balance_sheet</t>
        </is>
      </c>
    </row>
    <row r="44">
      <c r="A44" s="6" t="str"/>
      <c r="B44" s="6" t="str"/>
      <c r="C44" s="6" t="str"/>
      <c r="D44" s="6" t="inlineStr">
        <is>
          <t>REPAIRE &amp; MAINTENANCE EXPENS</t>
        </is>
      </c>
      <c r="E44" s="39" t="n">
        <v>1400</v>
      </c>
      <c r="F44" s="6" t="inlineStr">
        <is>
          <t>debit</t>
        </is>
      </c>
      <c r="G44" s="6" t="inlineStr">
        <is>
          <t>balance_sheet</t>
        </is>
      </c>
    </row>
    <row r="45">
      <c r="A45" s="6" t="str"/>
      <c r="B45" s="6" t="str"/>
      <c r="C45" s="6" t="str"/>
      <c r="D45" s="6" t="inlineStr">
        <is>
          <t>VEHICAL RUNING MAINTENANCE</t>
        </is>
      </c>
      <c r="E45" s="39" t="n">
        <v>7942.4</v>
      </c>
      <c r="F45" s="6" t="inlineStr">
        <is>
          <t>debit</t>
        </is>
      </c>
      <c r="G45" s="6" t="inlineStr">
        <is>
          <t>balance_sheet</t>
        </is>
      </c>
    </row>
    <row r="46">
      <c r="A46" s="34" t="str"/>
      <c r="B46" s="38" t="inlineStr">
        <is>
          <t>Salaries (Admin Mgmt)</t>
        </is>
      </c>
      <c r="C46" s="34" t="str"/>
      <c r="D46" s="34" t="str"/>
      <c r="E46" s="35" t="n">
        <v>250692</v>
      </c>
      <c r="F46" s="34" t="inlineStr">
        <is>
          <t>2 txns</t>
        </is>
      </c>
      <c r="G46" s="34" t="inlineStr">
        <is>
          <t>balance_sheet</t>
        </is>
      </c>
    </row>
    <row r="47">
      <c r="A47" s="6" t="str"/>
      <c r="B47" s="6" t="str"/>
      <c r="C47" s="6" t="str"/>
      <c r="D47" s="6" t="inlineStr">
        <is>
          <t>ESI EMPLOYER CONTRIBUTTION E</t>
        </is>
      </c>
      <c r="E47" s="39" t="n">
        <v>4017</v>
      </c>
      <c r="F47" s="6" t="inlineStr">
        <is>
          <t>debit</t>
        </is>
      </c>
      <c r="G47" s="6" t="inlineStr">
        <is>
          <t>balance_sheet</t>
        </is>
      </c>
    </row>
    <row r="48">
      <c r="A48" s="6" t="str"/>
      <c r="B48" s="6" t="str"/>
      <c r="C48" s="6" t="str"/>
      <c r="D48" s="6" t="inlineStr">
        <is>
          <t>Salary Expenses</t>
        </is>
      </c>
      <c r="E48" s="39" t="n">
        <v>246675</v>
      </c>
      <c r="F48" s="6" t="inlineStr">
        <is>
          <t>debit</t>
        </is>
      </c>
      <c r="G48" s="6" t="inlineStr">
        <is>
          <t>balance_sheet</t>
        </is>
      </c>
    </row>
    <row r="49">
      <c r="A49" s="34" t="str"/>
      <c r="B49" s="38" t="inlineStr">
        <is>
          <t>Legal &amp; CA expenses</t>
        </is>
      </c>
      <c r="C49" s="34" t="str"/>
      <c r="D49" s="34" t="str"/>
      <c r="E49" s="35" t="n">
        <v>101250</v>
      </c>
      <c r="F49" s="34" t="inlineStr">
        <is>
          <t>1 txns</t>
        </is>
      </c>
      <c r="G49" s="34" t="inlineStr">
        <is>
          <t>balance_sheet</t>
        </is>
      </c>
    </row>
    <row r="50">
      <c r="A50" s="6" t="str"/>
      <c r="B50" s="6" t="str"/>
      <c r="C50" s="6" t="str"/>
      <c r="D50" s="6" t="inlineStr">
        <is>
          <t>LEGAL &amp; PROFESSIONAL EXPENS</t>
        </is>
      </c>
      <c r="E50" s="39" t="n">
        <v>101250</v>
      </c>
      <c r="F50" s="6" t="inlineStr">
        <is>
          <t>debit</t>
        </is>
      </c>
      <c r="G50" s="6" t="inlineStr">
        <is>
          <t>balance_sheet</t>
        </is>
      </c>
    </row>
    <row r="51">
      <c r="A51" s="34" t="str"/>
      <c r="B51" s="38" t="inlineStr">
        <is>
          <t>Other Operating Expenses</t>
        </is>
      </c>
      <c r="C51" s="34" t="str"/>
      <c r="D51" s="34" t="str"/>
      <c r="E51" s="35" t="n">
        <v>22323.56</v>
      </c>
      <c r="F51" s="34" t="inlineStr">
        <is>
          <t>2 txns</t>
        </is>
      </c>
      <c r="G51" s="34" t="inlineStr">
        <is>
          <t>balance_sheet</t>
        </is>
      </c>
    </row>
    <row r="52">
      <c r="A52" s="6" t="str"/>
      <c r="B52" s="6" t="str"/>
      <c r="C52" s="6" t="str"/>
      <c r="D52" s="6" t="inlineStr">
        <is>
          <t>Rounded Off</t>
        </is>
      </c>
      <c r="E52" s="39" t="n">
        <v>-0.44</v>
      </c>
      <c r="F52" s="6" t="inlineStr">
        <is>
          <t>debit</t>
        </is>
      </c>
      <c r="G52" s="6" t="inlineStr">
        <is>
          <t>balance_sheet</t>
        </is>
      </c>
    </row>
    <row r="53">
      <c r="A53" s="6" t="str"/>
      <c r="B53" s="6" t="str"/>
      <c r="C53" s="6" t="str"/>
      <c r="D53" s="6" t="inlineStr">
        <is>
          <t>TRANSPOTATION EXPENSES</t>
        </is>
      </c>
      <c r="E53" s="39" t="n">
        <v>22324</v>
      </c>
      <c r="F53" s="6" t="inlineStr">
        <is>
          <t>debit</t>
        </is>
      </c>
      <c r="G53" s="6" t="inlineStr">
        <is>
          <t>balance_sheet</t>
        </is>
      </c>
    </row>
    <row r="54">
      <c r="A54" s="34" t="str"/>
      <c r="B54" s="38" t="inlineStr">
        <is>
          <t>Staff Welfare &amp; Events</t>
        </is>
      </c>
      <c r="C54" s="34" t="str"/>
      <c r="D54" s="34" t="str"/>
      <c r="E54" s="35" t="n">
        <v>1230</v>
      </c>
      <c r="F54" s="34" t="inlineStr">
        <is>
          <t>1 txns</t>
        </is>
      </c>
      <c r="G54" s="34" t="inlineStr">
        <is>
          <t>balance_sheet</t>
        </is>
      </c>
    </row>
    <row r="55">
      <c r="A55" s="6" t="str"/>
      <c r="B55" s="6" t="str"/>
      <c r="C55" s="6" t="str"/>
      <c r="D55" s="6" t="inlineStr">
        <is>
          <t>STAFF WELFARE EXPENSES</t>
        </is>
      </c>
      <c r="E55" s="39" t="n">
        <v>1230</v>
      </c>
      <c r="F55" s="6" t="inlineStr">
        <is>
          <t>debit</t>
        </is>
      </c>
      <c r="G55" s="6" t="inlineStr">
        <is>
          <t>balance_sheet</t>
        </is>
      </c>
    </row>
    <row r="56">
      <c r="A56" s="34" t="str"/>
      <c r="B56" s="38" t="inlineStr">
        <is>
          <t>Miscellaneous (Travel, insurance)</t>
        </is>
      </c>
      <c r="C56" s="34" t="str"/>
      <c r="D56" s="34" t="str"/>
      <c r="E56" s="35" t="n">
        <v>7068</v>
      </c>
      <c r="F56" s="34" t="inlineStr">
        <is>
          <t>1 txns</t>
        </is>
      </c>
      <c r="G56" s="34" t="inlineStr">
        <is>
          <t>balance_sheet</t>
        </is>
      </c>
    </row>
    <row r="57">
      <c r="A57" s="6" t="str"/>
      <c r="B57" s="6" t="str"/>
      <c r="C57" s="6" t="str"/>
      <c r="D57" s="6" t="inlineStr">
        <is>
          <t>Travelling Expenses</t>
        </is>
      </c>
      <c r="E57" s="39" t="n">
        <v>7068</v>
      </c>
      <c r="F57" s="6" t="inlineStr">
        <is>
          <t>debit</t>
        </is>
      </c>
      <c r="G57" s="6" t="inlineStr">
        <is>
          <t>balance_sheet</t>
        </is>
      </c>
    </row>
    <row r="59">
      <c r="A59" s="24" t="inlineStr">
        <is>
          <t>J. Non-Operating</t>
        </is>
      </c>
      <c r="B59" s="24" t="str"/>
      <c r="C59" s="24" t="str"/>
      <c r="D59" s="24" t="str"/>
      <c r="E59" s="37" t="n">
        <v>46878</v>
      </c>
      <c r="F59" s="24" t="inlineStr">
        <is>
          <t>2 txns</t>
        </is>
      </c>
      <c r="G59" s="24" t="str"/>
    </row>
    <row r="60">
      <c r="A60" s="34" t="str"/>
      <c r="B60" s="38" t="inlineStr">
        <is>
          <t>Less: Interest Expense</t>
        </is>
      </c>
      <c r="C60" s="34" t="str"/>
      <c r="D60" s="34" t="str"/>
      <c r="E60" s="35" t="n">
        <v>46878</v>
      </c>
      <c r="F60" s="34" t="inlineStr">
        <is>
          <t>2 txns</t>
        </is>
      </c>
      <c r="G60" s="34" t="inlineStr">
        <is>
          <t>balance_sheet</t>
        </is>
      </c>
    </row>
    <row r="61">
      <c r="A61" s="6" t="str"/>
      <c r="B61" s="6" t="str"/>
      <c r="C61" s="6" t="str"/>
      <c r="D61" s="6" t="inlineStr">
        <is>
          <t>INTEREST ON CAR LOAN EXPENS</t>
        </is>
      </c>
      <c r="E61" s="39" t="n">
        <v>21892</v>
      </c>
      <c r="F61" s="6" t="inlineStr">
        <is>
          <t>debit</t>
        </is>
      </c>
      <c r="G61" s="6" t="inlineStr">
        <is>
          <t>balance_sheet</t>
        </is>
      </c>
    </row>
    <row r="62">
      <c r="A62" s="6" t="str"/>
      <c r="B62" s="6" t="str"/>
      <c r="C62" s="6" t="str"/>
      <c r="D62" s="6" t="inlineStr">
        <is>
          <t>INTEREST ON OD LIMIT</t>
        </is>
      </c>
      <c r="E62" s="39" t="n">
        <v>24986</v>
      </c>
      <c r="F62" s="6" t="inlineStr">
        <is>
          <t>debit</t>
        </is>
      </c>
      <c r="G62" s="6" t="inlineStr">
        <is>
          <t>balance_sheet</t>
        </is>
      </c>
    </row>
  </sheetData>
  <mergeCells count="1">
    <mergeCell ref="A1:G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25.83203125" customWidth="1" style="2" min="1" max="1"/>
    <col width="30.83203125" customWidth="1" style="2" min="2" max="2"/>
    <col width="12.83203125" customWidth="1" style="2" min="3" max="3"/>
    <col width="45.83203125" customWidth="1" style="2" min="4" max="4"/>
    <col width="15.83203125" customWidth="1" style="2" min="5" max="5"/>
    <col width="10.83203125" customWidth="1" style="2" min="6" max="6"/>
    <col width="15.83203125" customWidth="1" style="2" min="7" max="7"/>
  </cols>
  <sheetData>
    <row r="1">
      <c r="A1" s="40" t="inlineStr">
        <is>
          <t>Jul 2024 - TRANSACTION DETAILS</t>
        </is>
      </c>
    </row>
    <row r="3">
      <c r="A3" s="5" t="inlineStr">
        <is>
          <t>Head</t>
        </is>
      </c>
      <c r="B3" s="5" t="inlineStr">
        <is>
          <t>Subhead</t>
        </is>
      </c>
      <c r="C3" s="5" t="inlineStr">
        <is>
          <t>Date</t>
        </is>
      </c>
      <c r="D3" s="5" t="inlineStr">
        <is>
          <t>Account</t>
        </is>
      </c>
      <c r="E3" s="5" t="inlineStr">
        <is>
          <t>Amount (₹)</t>
        </is>
      </c>
      <c r="F3" s="5" t="inlineStr">
        <is>
          <t>Type</t>
        </is>
      </c>
      <c r="G3" s="5" t="inlineStr">
        <is>
          <t>Source</t>
        </is>
      </c>
    </row>
    <row r="4">
      <c r="A4" s="24" t="inlineStr">
        <is>
          <t>E. COGM</t>
        </is>
      </c>
      <c r="B4" s="24" t="str"/>
      <c r="C4" s="24" t="str"/>
      <c r="D4" s="24" t="str"/>
      <c r="E4" s="37" t="n">
        <v>156344</v>
      </c>
      <c r="F4" s="24" t="inlineStr">
        <is>
          <t>6 txns</t>
        </is>
      </c>
      <c r="G4" s="24" t="str"/>
    </row>
    <row r="5">
      <c r="A5" s="34" t="str"/>
      <c r="B5" s="38" t="inlineStr">
        <is>
          <t>Raw Materials &amp; Inventory</t>
        </is>
      </c>
      <c r="C5" s="34" t="str"/>
      <c r="D5" s="34" t="str"/>
      <c r="E5" s="35" t="n">
        <v>659932.27</v>
      </c>
      <c r="F5" s="34" t="inlineStr">
        <is>
          <t>1 txns</t>
        </is>
      </c>
      <c r="G5" s="34" t="inlineStr">
        <is>
          <t>calculated</t>
        </is>
      </c>
    </row>
    <row r="6">
      <c r="A6" s="6" t="str"/>
      <c r="B6" s="6" t="str"/>
      <c r="C6" s="6" t="str"/>
      <c r="D6" s="6" t="inlineStr">
        <is>
          <t>Raw Materials (Prorated by Revenue)</t>
        </is>
      </c>
      <c r="E6" s="39" t="n">
        <v>659932.27</v>
      </c>
      <c r="F6" s="6" t="inlineStr">
        <is>
          <t>debit</t>
        </is>
      </c>
      <c r="G6" s="6" t="inlineStr">
        <is>
          <t>calculated</t>
        </is>
      </c>
    </row>
    <row r="7">
      <c r="A7" s="34" t="str"/>
      <c r="B7" s="38" t="inlineStr">
        <is>
          <t>Consumables</t>
        </is>
      </c>
      <c r="C7" s="34" t="str"/>
      <c r="D7" s="34" t="str"/>
      <c r="E7" s="35" t="n">
        <v>2000</v>
      </c>
      <c r="F7" s="34" t="inlineStr">
        <is>
          <t>1 txns</t>
        </is>
      </c>
      <c r="G7" s="34" t="inlineStr">
        <is>
          <t>balance_sheet</t>
        </is>
      </c>
    </row>
    <row r="8">
      <c r="A8" s="6" t="str"/>
      <c r="B8" s="6" t="str"/>
      <c r="C8" s="6" t="str"/>
      <c r="D8" s="6" t="inlineStr">
        <is>
          <t>CONSUMABLE EXPENSES @%</t>
        </is>
      </c>
      <c r="E8" s="39" t="n">
        <v>2000</v>
      </c>
      <c r="F8" s="6" t="inlineStr">
        <is>
          <t>debit</t>
        </is>
      </c>
      <c r="G8" s="6" t="inlineStr">
        <is>
          <t>balance_sheet</t>
        </is>
      </c>
    </row>
    <row r="9">
      <c r="A9" s="34" t="str"/>
      <c r="B9" s="38" t="inlineStr">
        <is>
          <t>Factory Maintenance</t>
        </is>
      </c>
      <c r="C9" s="34" t="str"/>
      <c r="D9" s="34" t="str"/>
      <c r="E9" s="35" t="n">
        <v>39231</v>
      </c>
      <c r="F9" s="34" t="inlineStr">
        <is>
          <t>2 txns</t>
        </is>
      </c>
      <c r="G9" s="34" t="inlineStr">
        <is>
          <t>balance_sheet</t>
        </is>
      </c>
    </row>
    <row r="10">
      <c r="A10" s="6" t="str"/>
      <c r="B10" s="6" t="str"/>
      <c r="C10" s="6" t="str"/>
      <c r="D10" s="6" t="inlineStr">
        <is>
          <t>Electricity &amp; Water Expenses</t>
        </is>
      </c>
      <c r="E10" s="39" t="n">
        <v>20231</v>
      </c>
      <c r="F10" s="6" t="inlineStr">
        <is>
          <t>debit</t>
        </is>
      </c>
      <c r="G10" s="6" t="inlineStr">
        <is>
          <t>balance_sheet</t>
        </is>
      </c>
    </row>
    <row r="11">
      <c r="A11" s="6" t="str"/>
      <c r="B11" s="6" t="str"/>
      <c r="C11" s="6" t="str"/>
      <c r="D11" s="6" t="inlineStr">
        <is>
          <t>POWER BACKUP &amp; MAITENANCE (D</t>
        </is>
      </c>
      <c r="E11" s="39" t="n">
        <v>19000</v>
      </c>
      <c r="F11" s="6" t="inlineStr">
        <is>
          <t>debit</t>
        </is>
      </c>
      <c r="G11" s="6" t="inlineStr">
        <is>
          <t>balance_sheet</t>
        </is>
      </c>
    </row>
    <row r="12">
      <c r="A12" s="34" t="str"/>
      <c r="B12" s="38" t="inlineStr">
        <is>
          <t>Inbound Transport</t>
        </is>
      </c>
      <c r="C12" s="34" t="str"/>
      <c r="D12" s="34" t="str"/>
      <c r="E12" s="35" t="n">
        <v>3700</v>
      </c>
      <c r="F12" s="34" t="inlineStr">
        <is>
          <t>1 txns</t>
        </is>
      </c>
      <c r="G12" s="34" t="inlineStr">
        <is>
          <t>balance_sheet</t>
        </is>
      </c>
    </row>
    <row r="13">
      <c r="A13" s="6" t="str"/>
      <c r="B13" s="6" t="str"/>
      <c r="C13" s="6" t="str"/>
      <c r="D13" s="6" t="inlineStr">
        <is>
          <t>FREIGHT CHARES @%</t>
        </is>
      </c>
      <c r="E13" s="39" t="n">
        <v>3700</v>
      </c>
      <c r="F13" s="6" t="inlineStr">
        <is>
          <t>debit</t>
        </is>
      </c>
      <c r="G13" s="6" t="inlineStr">
        <is>
          <t>balance_sheet</t>
        </is>
      </c>
    </row>
    <row r="14">
      <c r="A14" s="34" t="str"/>
      <c r="B14" s="38" t="inlineStr">
        <is>
          <t>Job work</t>
        </is>
      </c>
      <c r="C14" s="34" t="str"/>
      <c r="D14" s="34" t="str"/>
      <c r="E14" s="35" t="n">
        <v>107413</v>
      </c>
      <c r="F14" s="34" t="inlineStr">
        <is>
          <t>1 txns</t>
        </is>
      </c>
      <c r="G14" s="34" t="inlineStr">
        <is>
          <t>balance_sheet</t>
        </is>
      </c>
    </row>
    <row r="15">
      <c r="A15" s="6" t="str"/>
      <c r="B15" s="6" t="str"/>
      <c r="C15" s="6" t="str"/>
      <c r="D15" s="6" t="inlineStr">
        <is>
          <t>JOB WORK @%</t>
        </is>
      </c>
      <c r="E15" s="39" t="n">
        <v>107413</v>
      </c>
      <c r="F15" s="6" t="inlineStr">
        <is>
          <t>debit</t>
        </is>
      </c>
      <c r="G15" s="6" t="inlineStr">
        <is>
          <t>balance_sheet</t>
        </is>
      </c>
    </row>
    <row r="16">
      <c r="A16" s="34" t="str"/>
      <c r="B16" s="38" t="inlineStr">
        <is>
          <t>Manufacturing Wages</t>
        </is>
      </c>
      <c r="C16" s="34" t="str"/>
      <c r="D16" s="34" t="str"/>
      <c r="E16" s="35" t="n">
        <v>4000</v>
      </c>
      <c r="F16" s="34" t="inlineStr">
        <is>
          <t>1 txns</t>
        </is>
      </c>
      <c r="G16" s="34" t="inlineStr">
        <is>
          <t>balance_sheet</t>
        </is>
      </c>
    </row>
    <row r="17">
      <c r="A17" s="6" t="str"/>
      <c r="B17" s="6" t="str"/>
      <c r="C17" s="6" t="str"/>
      <c r="D17" s="6" t="inlineStr">
        <is>
          <t>LABOUR &amp; WAGES EXPENSES</t>
        </is>
      </c>
      <c r="E17" s="39" t="n">
        <v>4000</v>
      </c>
      <c r="F17" s="6" t="inlineStr">
        <is>
          <t>debit</t>
        </is>
      </c>
      <c r="G17" s="6" t="inlineStr">
        <is>
          <t>balance_sheet</t>
        </is>
      </c>
    </row>
    <row r="19">
      <c r="A19" s="24" t="inlineStr">
        <is>
          <t>F. Channel &amp; Fulfillment</t>
        </is>
      </c>
      <c r="B19" s="24" t="str"/>
      <c r="C19" s="24" t="str"/>
      <c r="D19" s="24" t="str"/>
      <c r="E19" s="37" t="n">
        <v>-366</v>
      </c>
      <c r="F19" s="24" t="inlineStr">
        <is>
          <t>1 txns</t>
        </is>
      </c>
      <c r="G19" s="24" t="str"/>
    </row>
    <row r="20">
      <c r="A20" s="34" t="str"/>
      <c r="B20" s="38" t="inlineStr">
        <is>
          <t>D2C Fees</t>
        </is>
      </c>
      <c r="C20" s="34" t="str"/>
      <c r="D20" s="34" t="str"/>
      <c r="E20" s="35" t="n">
        <v>-366</v>
      </c>
      <c r="F20" s="34" t="inlineStr">
        <is>
          <t>1 txns</t>
        </is>
      </c>
      <c r="G20" s="34" t="inlineStr">
        <is>
          <t>balance_sheet</t>
        </is>
      </c>
    </row>
    <row r="21">
      <c r="A21" s="6" t="str"/>
      <c r="B21" s="6" t="str"/>
      <c r="C21" s="6" t="str"/>
      <c r="D21" s="6" t="inlineStr">
        <is>
          <t>Freight &amp; Forwarding Charges</t>
        </is>
      </c>
      <c r="E21" s="39" t="n">
        <v>-366</v>
      </c>
      <c r="F21" s="6" t="inlineStr">
        <is>
          <t>debit</t>
        </is>
      </c>
      <c r="G21" s="6" t="inlineStr">
        <is>
          <t>balance_sheet</t>
        </is>
      </c>
    </row>
    <row r="23">
      <c r="A23" s="24" t="inlineStr">
        <is>
          <t>G. Sales &amp; Marketing</t>
        </is>
      </c>
      <c r="B23" s="24" t="str"/>
      <c r="C23" s="24" t="str"/>
      <c r="D23" s="24" t="str"/>
      <c r="E23" s="37" t="n">
        <v>727793.8</v>
      </c>
      <c r="F23" s="24" t="inlineStr">
        <is>
          <t>3 txns</t>
        </is>
      </c>
      <c r="G23" s="24" t="str"/>
    </row>
    <row r="24">
      <c r="A24" s="34" t="str"/>
      <c r="B24" s="38" t="inlineStr">
        <is>
          <t>Advertising &amp; Marketing</t>
        </is>
      </c>
      <c r="C24" s="34" t="str"/>
      <c r="D24" s="34" t="str"/>
      <c r="E24" s="35" t="n">
        <v>727793.8</v>
      </c>
      <c r="F24" s="34" t="inlineStr">
        <is>
          <t>3 txns</t>
        </is>
      </c>
      <c r="G24" s="34" t="inlineStr">
        <is>
          <t>balance_sheet</t>
        </is>
      </c>
    </row>
    <row r="25">
      <c r="A25" s="6" t="str"/>
      <c r="B25" s="6" t="str"/>
      <c r="C25" s="6" t="str"/>
      <c r="D25" s="6" t="inlineStr">
        <is>
          <t>Advertisement &amp; Publicity</t>
        </is>
      </c>
      <c r="E25" s="39" t="n">
        <v>338096.73</v>
      </c>
      <c r="F25" s="6" t="inlineStr">
        <is>
          <t>debit</t>
        </is>
      </c>
      <c r="G25" s="6" t="inlineStr">
        <is>
          <t>balance_sheet</t>
        </is>
      </c>
    </row>
    <row r="26">
      <c r="A26" s="6" t="str"/>
      <c r="B26" s="6" t="str"/>
      <c r="C26" s="6" t="str"/>
      <c r="D26" s="6" t="inlineStr">
        <is>
          <t>BUSINESS PROMOTION EXPENSES</t>
        </is>
      </c>
      <c r="E26" s="39" t="n">
        <v>419</v>
      </c>
      <c r="F26" s="6" t="inlineStr">
        <is>
          <t>debit</t>
        </is>
      </c>
      <c r="G26" s="6" t="inlineStr">
        <is>
          <t>balance_sheet</t>
        </is>
      </c>
    </row>
    <row r="27">
      <c r="A27" s="6" t="str"/>
      <c r="B27" s="6" t="str"/>
      <c r="C27" s="6" t="str"/>
      <c r="D27" s="6" t="inlineStr">
        <is>
          <t>BUSINESS PROMOTION EXPENSES@</t>
        </is>
      </c>
      <c r="E27" s="39" t="n">
        <v>389278.07</v>
      </c>
      <c r="F27" s="6" t="inlineStr">
        <is>
          <t>debit</t>
        </is>
      </c>
      <c r="G27" s="6" t="inlineStr">
        <is>
          <t>balance_sheet</t>
        </is>
      </c>
    </row>
    <row r="29">
      <c r="A29" s="24" t="inlineStr">
        <is>
          <t>I. Operating Expenses</t>
        </is>
      </c>
      <c r="B29" s="24" t="str"/>
      <c r="C29" s="24" t="str"/>
      <c r="D29" s="24" t="str"/>
      <c r="E29" s="37" t="n">
        <v>521086.58</v>
      </c>
      <c r="F29" s="24" t="inlineStr">
        <is>
          <t>21 txns</t>
        </is>
      </c>
      <c r="G29" s="24" t="str"/>
    </row>
    <row r="30">
      <c r="A30" s="34" t="str"/>
      <c r="B30" s="38" t="inlineStr">
        <is>
          <t>Banks &amp; Finance Charges</t>
        </is>
      </c>
      <c r="C30" s="34" t="str"/>
      <c r="D30" s="34" t="str"/>
      <c r="E30" s="35" t="n">
        <v>38.39</v>
      </c>
      <c r="F30" s="34" t="inlineStr">
        <is>
          <t>1 txns</t>
        </is>
      </c>
      <c r="G30" s="34" t="inlineStr">
        <is>
          <t>balance_sheet</t>
        </is>
      </c>
    </row>
    <row r="31">
      <c r="A31" s="6" t="str"/>
      <c r="B31" s="6" t="str"/>
      <c r="C31" s="6" t="str"/>
      <c r="D31" s="6" t="inlineStr">
        <is>
          <t>Bank Charges@%</t>
        </is>
      </c>
      <c r="E31" s="39" t="n">
        <v>38.39</v>
      </c>
      <c r="F31" s="6" t="inlineStr">
        <is>
          <t>debit</t>
        </is>
      </c>
      <c r="G31" s="6" t="inlineStr">
        <is>
          <t>balance_sheet</t>
        </is>
      </c>
    </row>
    <row r="32">
      <c r="A32" s="34" t="str"/>
      <c r="B32" s="38" t="inlineStr">
        <is>
          <t>Other Operating Expenses</t>
        </is>
      </c>
      <c r="C32" s="34" t="str"/>
      <c r="D32" s="34" t="str"/>
      <c r="E32" s="35" t="n">
        <v>18550.93</v>
      </c>
      <c r="F32" s="34" t="inlineStr">
        <is>
          <t>4 txns</t>
        </is>
      </c>
      <c r="G32" s="34" t="inlineStr">
        <is>
          <t>balance_sheet</t>
        </is>
      </c>
    </row>
    <row r="33">
      <c r="A33" s="6" t="str"/>
      <c r="B33" s="6" t="str"/>
      <c r="C33" s="6" t="str"/>
      <c r="D33" s="6" t="inlineStr">
        <is>
          <t>CONSUMABLES EXPENSES</t>
        </is>
      </c>
      <c r="E33" s="39" t="n">
        <v>5738</v>
      </c>
      <c r="F33" s="6" t="inlineStr">
        <is>
          <t>debit</t>
        </is>
      </c>
      <c r="G33" s="6" t="inlineStr">
        <is>
          <t>balance_sheet</t>
        </is>
      </c>
    </row>
    <row r="34">
      <c r="A34" s="6" t="str"/>
      <c r="B34" s="6" t="str"/>
      <c r="C34" s="6" t="str"/>
      <c r="D34" s="6" t="inlineStr">
        <is>
          <t>PRIOR PERIOD EXP.</t>
        </is>
      </c>
      <c r="E34" s="39" t="n">
        <v>608.1900000000001</v>
      </c>
      <c r="F34" s="6" t="inlineStr">
        <is>
          <t>debit</t>
        </is>
      </c>
      <c r="G34" s="6" t="inlineStr">
        <is>
          <t>balance_sheet</t>
        </is>
      </c>
    </row>
    <row r="35">
      <c r="A35" s="6" t="str"/>
      <c r="B35" s="6" t="str"/>
      <c r="C35" s="6" t="str"/>
      <c r="D35" s="6" t="inlineStr">
        <is>
          <t>Rounded Off</t>
        </is>
      </c>
      <c r="E35" s="39" t="n">
        <v>39.74</v>
      </c>
      <c r="F35" s="6" t="inlineStr">
        <is>
          <t>debit</t>
        </is>
      </c>
      <c r="G35" s="6" t="inlineStr">
        <is>
          <t>balance_sheet</t>
        </is>
      </c>
    </row>
    <row r="36">
      <c r="A36" s="6" t="str"/>
      <c r="B36" s="6" t="str"/>
      <c r="C36" s="6" t="str"/>
      <c r="D36" s="6" t="inlineStr">
        <is>
          <t>TRANSPOTATION EXPENSES</t>
        </is>
      </c>
      <c r="E36" s="39" t="n">
        <v>12165</v>
      </c>
      <c r="F36" s="6" t="inlineStr">
        <is>
          <t>debit</t>
        </is>
      </c>
      <c r="G36" s="6" t="inlineStr">
        <is>
          <t>balance_sheet</t>
        </is>
      </c>
    </row>
    <row r="37">
      <c r="A37" s="34" t="str"/>
      <c r="B37" s="38" t="inlineStr">
        <is>
          <t>Miscellaneous (Travel, insurance)</t>
        </is>
      </c>
      <c r="C37" s="34" t="str"/>
      <c r="D37" s="34" t="str"/>
      <c r="E37" s="35" t="n">
        <v>4457.23</v>
      </c>
      <c r="F37" s="34" t="inlineStr">
        <is>
          <t>3 txns</t>
        </is>
      </c>
      <c r="G37" s="34" t="inlineStr">
        <is>
          <t>balance_sheet</t>
        </is>
      </c>
    </row>
    <row r="38">
      <c r="A38" s="6" t="str"/>
      <c r="B38" s="6" t="str"/>
      <c r="C38" s="6" t="str"/>
      <c r="D38" s="6" t="inlineStr">
        <is>
          <t>CONVEYANCE &amp; AUTO CHARGE</t>
        </is>
      </c>
      <c r="E38" s="39" t="n">
        <v>1555</v>
      </c>
      <c r="F38" s="6" t="inlineStr">
        <is>
          <t>debit</t>
        </is>
      </c>
      <c r="G38" s="6" t="inlineStr">
        <is>
          <t>balance_sheet</t>
        </is>
      </c>
    </row>
    <row r="39">
      <c r="A39" s="6" t="str"/>
      <c r="B39" s="6" t="str"/>
      <c r="C39" s="6" t="str"/>
      <c r="D39" s="6" t="inlineStr">
        <is>
          <t>HOTEL EXPENSES</t>
        </is>
      </c>
      <c r="E39" s="39" t="n">
        <v>1633</v>
      </c>
      <c r="F39" s="6" t="inlineStr">
        <is>
          <t>debit</t>
        </is>
      </c>
      <c r="G39" s="6" t="inlineStr">
        <is>
          <t>balance_sheet</t>
        </is>
      </c>
    </row>
    <row r="40">
      <c r="A40" s="6" t="str"/>
      <c r="B40" s="6" t="str"/>
      <c r="C40" s="6" t="str"/>
      <c r="D40" s="6" t="inlineStr">
        <is>
          <t>Travelling Expenses</t>
        </is>
      </c>
      <c r="E40" s="39" t="n">
        <v>1269.23</v>
      </c>
      <c r="F40" s="6" t="inlineStr">
        <is>
          <t>debit</t>
        </is>
      </c>
      <c r="G40" s="6" t="inlineStr">
        <is>
          <t>balance_sheet</t>
        </is>
      </c>
    </row>
    <row r="41">
      <c r="A41" s="34" t="str"/>
      <c r="B41" s="38" t="inlineStr">
        <is>
          <t>Salaries (Admin Mgmt)</t>
        </is>
      </c>
      <c r="C41" s="34" t="str"/>
      <c r="D41" s="34" t="str"/>
      <c r="E41" s="35" t="n">
        <v>263873</v>
      </c>
      <c r="F41" s="34" t="inlineStr">
        <is>
          <t>2 txns</t>
        </is>
      </c>
      <c r="G41" s="34" t="inlineStr">
        <is>
          <t>balance_sheet</t>
        </is>
      </c>
    </row>
    <row r="42">
      <c r="A42" s="6" t="str"/>
      <c r="B42" s="6" t="str"/>
      <c r="C42" s="6" t="str"/>
      <c r="D42" s="6" t="inlineStr">
        <is>
          <t>ESI EMPLOYER CONTRIBUTTION E</t>
        </is>
      </c>
      <c r="E42" s="39" t="n">
        <v>4040</v>
      </c>
      <c r="F42" s="6" t="inlineStr">
        <is>
          <t>debit</t>
        </is>
      </c>
      <c r="G42" s="6" t="inlineStr">
        <is>
          <t>balance_sheet</t>
        </is>
      </c>
    </row>
    <row r="43">
      <c r="A43" s="6" t="str"/>
      <c r="B43" s="6" t="str"/>
      <c r="C43" s="6" t="str"/>
      <c r="D43" s="6" t="inlineStr">
        <is>
          <t>Salary Expenses</t>
        </is>
      </c>
      <c r="E43" s="39" t="n">
        <v>259833</v>
      </c>
      <c r="F43" s="6" t="inlineStr">
        <is>
          <t>debit</t>
        </is>
      </c>
      <c r="G43" s="6" t="inlineStr">
        <is>
          <t>balance_sheet</t>
        </is>
      </c>
    </row>
    <row r="44">
      <c r="A44" s="34" t="str"/>
      <c r="B44" s="38" t="inlineStr">
        <is>
          <t>Legal &amp; CA expenses</t>
        </is>
      </c>
      <c r="C44" s="34" t="str"/>
      <c r="D44" s="34" t="str"/>
      <c r="E44" s="35" t="n">
        <v>7500</v>
      </c>
      <c r="F44" s="34" t="inlineStr">
        <is>
          <t>1 txns</t>
        </is>
      </c>
      <c r="G44" s="34" t="inlineStr">
        <is>
          <t>balance_sheet</t>
        </is>
      </c>
    </row>
    <row r="45">
      <c r="A45" s="6" t="str"/>
      <c r="B45" s="6" t="str"/>
      <c r="C45" s="6" t="str"/>
      <c r="D45" s="6" t="inlineStr">
        <is>
          <t>LEGAL &amp; PROFESSIONAL EXPENS</t>
        </is>
      </c>
      <c r="E45" s="39" t="n">
        <v>7500</v>
      </c>
      <c r="F45" s="6" t="inlineStr">
        <is>
          <t>debit</t>
        </is>
      </c>
      <c r="G45" s="6" t="inlineStr">
        <is>
          <t>balance_sheet</t>
        </is>
      </c>
    </row>
    <row r="46">
      <c r="A46" s="34" t="str"/>
      <c r="B46" s="38" t="inlineStr">
        <is>
          <t>Administrative Expenses</t>
        </is>
      </c>
      <c r="C46" s="34" t="str"/>
      <c r="D46" s="34" t="str"/>
      <c r="E46" s="35" t="n">
        <v>217351.03</v>
      </c>
      <c r="F46" s="34" t="inlineStr">
        <is>
          <t>8 txns</t>
        </is>
      </c>
      <c r="G46" s="34" t="inlineStr">
        <is>
          <t>balance_sheet</t>
        </is>
      </c>
    </row>
    <row r="47">
      <c r="A47" s="6" t="str"/>
      <c r="B47" s="6" t="str"/>
      <c r="C47" s="6" t="str"/>
      <c r="D47" s="6" t="inlineStr">
        <is>
          <t>OFFICE EXPENSES</t>
        </is>
      </c>
      <c r="E47" s="39" t="n">
        <v>4400</v>
      </c>
      <c r="F47" s="6" t="inlineStr">
        <is>
          <t>debit</t>
        </is>
      </c>
      <c r="G47" s="6" t="inlineStr">
        <is>
          <t>balance_sheet</t>
        </is>
      </c>
    </row>
    <row r="48">
      <c r="A48" s="6" t="str"/>
      <c r="B48" s="6" t="str"/>
      <c r="C48" s="6" t="str"/>
      <c r="D48" s="6" t="inlineStr">
        <is>
          <t>Office Rent</t>
        </is>
      </c>
      <c r="E48" s="39" t="n">
        <v>134375</v>
      </c>
      <c r="F48" s="6" t="inlineStr">
        <is>
          <t>debit</t>
        </is>
      </c>
      <c r="G48" s="6" t="inlineStr">
        <is>
          <t>balance_sheet</t>
        </is>
      </c>
    </row>
    <row r="49">
      <c r="A49" s="6" t="str"/>
      <c r="B49" s="6" t="str"/>
      <c r="C49" s="6" t="str"/>
      <c r="D49" s="6" t="inlineStr">
        <is>
          <t>Printing &amp; Stationery@%</t>
        </is>
      </c>
      <c r="E49" s="39" t="n">
        <v>156</v>
      </c>
      <c r="F49" s="6" t="inlineStr">
        <is>
          <t>debit</t>
        </is>
      </c>
      <c r="G49" s="6" t="inlineStr">
        <is>
          <t>balance_sheet</t>
        </is>
      </c>
    </row>
    <row r="50">
      <c r="A50" s="6" t="str"/>
      <c r="B50" s="6" t="str"/>
      <c r="C50" s="6" t="str"/>
      <c r="D50" s="6" t="inlineStr">
        <is>
          <t>Printing &amp; Stationery@%</t>
        </is>
      </c>
      <c r="E50" s="39" t="n">
        <v>7980</v>
      </c>
      <c r="F50" s="6" t="inlineStr">
        <is>
          <t>debit</t>
        </is>
      </c>
      <c r="G50" s="6" t="inlineStr">
        <is>
          <t>balance_sheet</t>
        </is>
      </c>
    </row>
    <row r="51">
      <c r="A51" s="6" t="str"/>
      <c r="B51" s="6" t="str"/>
      <c r="C51" s="6" t="str"/>
      <c r="D51" s="6" t="inlineStr">
        <is>
          <t>PRINTING STATIONERY EXPENSES</t>
        </is>
      </c>
      <c r="E51" s="39" t="n">
        <v>1079</v>
      </c>
      <c r="F51" s="6" t="inlineStr">
        <is>
          <t>debit</t>
        </is>
      </c>
      <c r="G51" s="6" t="inlineStr">
        <is>
          <t>balance_sheet</t>
        </is>
      </c>
    </row>
    <row r="52">
      <c r="A52" s="6" t="str"/>
      <c r="B52" s="6" t="str"/>
      <c r="C52" s="6" t="str"/>
      <c r="D52" s="6" t="inlineStr">
        <is>
          <t>REPAIRE &amp; MAINTENANCE EXPENS</t>
        </is>
      </c>
      <c r="E52" s="39" t="n">
        <v>9703.440000000001</v>
      </c>
      <c r="F52" s="6" t="inlineStr">
        <is>
          <t>debit</t>
        </is>
      </c>
      <c r="G52" s="6" t="inlineStr">
        <is>
          <t>balance_sheet</t>
        </is>
      </c>
    </row>
    <row r="53">
      <c r="A53" s="6" t="str"/>
      <c r="B53" s="6" t="str"/>
      <c r="C53" s="6" t="str"/>
      <c r="D53" s="6" t="inlineStr">
        <is>
          <t>REPAIRE &amp; MAINTENANCE EXPENS</t>
        </is>
      </c>
      <c r="E53" s="39" t="n">
        <v>51492.59</v>
      </c>
      <c r="F53" s="6" t="inlineStr">
        <is>
          <t>debit</t>
        </is>
      </c>
      <c r="G53" s="6" t="inlineStr">
        <is>
          <t>balance_sheet</t>
        </is>
      </c>
    </row>
    <row r="54">
      <c r="A54" s="6" t="str"/>
      <c r="B54" s="6" t="str"/>
      <c r="C54" s="6" t="str"/>
      <c r="D54" s="6" t="inlineStr">
        <is>
          <t>VEHICAL RUNING MAINTENANCE</t>
        </is>
      </c>
      <c r="E54" s="39" t="n">
        <v>8165</v>
      </c>
      <c r="F54" s="6" t="inlineStr">
        <is>
          <t>debit</t>
        </is>
      </c>
      <c r="G54" s="6" t="inlineStr">
        <is>
          <t>balance_sheet</t>
        </is>
      </c>
    </row>
    <row r="55">
      <c r="A55" s="34" t="str"/>
      <c r="B55" s="38" t="inlineStr">
        <is>
          <t>Staff Welfare &amp; Events</t>
        </is>
      </c>
      <c r="C55" s="34" t="str"/>
      <c r="D55" s="34" t="str"/>
      <c r="E55" s="35" t="n">
        <v>9316</v>
      </c>
      <c r="F55" s="34" t="inlineStr">
        <is>
          <t>2 txns</t>
        </is>
      </c>
      <c r="G55" s="34" t="inlineStr">
        <is>
          <t>balance_sheet</t>
        </is>
      </c>
    </row>
    <row r="56">
      <c r="A56" s="6" t="str"/>
      <c r="B56" s="6" t="str"/>
      <c r="C56" s="6" t="str"/>
      <c r="D56" s="6" t="inlineStr">
        <is>
          <t>STAFF WELFARE EXPENSES</t>
        </is>
      </c>
      <c r="E56" s="39" t="n">
        <v>9246</v>
      </c>
      <c r="F56" s="6" t="inlineStr">
        <is>
          <t>debit</t>
        </is>
      </c>
      <c r="G56" s="6" t="inlineStr">
        <is>
          <t>balance_sheet</t>
        </is>
      </c>
    </row>
    <row r="57">
      <c r="A57" s="6" t="str"/>
      <c r="B57" s="6" t="str"/>
      <c r="C57" s="6" t="str"/>
      <c r="D57" s="6" t="inlineStr">
        <is>
          <t>Staff Welfare Expenses @%</t>
        </is>
      </c>
      <c r="E57" s="39" t="n">
        <v>70</v>
      </c>
      <c r="F57" s="6" t="inlineStr">
        <is>
          <t>debit</t>
        </is>
      </c>
      <c r="G57" s="6" t="inlineStr">
        <is>
          <t>balance_sheet</t>
        </is>
      </c>
    </row>
    <row r="59">
      <c r="A59" s="24" t="inlineStr">
        <is>
          <t>J. Non-Operating</t>
        </is>
      </c>
      <c r="B59" s="24" t="str"/>
      <c r="C59" s="24" t="str"/>
      <c r="D59" s="24" t="str"/>
      <c r="E59" s="37" t="n">
        <v>41002</v>
      </c>
      <c r="F59" s="24" t="inlineStr">
        <is>
          <t>2 txns</t>
        </is>
      </c>
      <c r="G59" s="24" t="str"/>
    </row>
    <row r="60">
      <c r="A60" s="34" t="str"/>
      <c r="B60" s="38" t="inlineStr">
        <is>
          <t>Less: Interest Expense</t>
        </is>
      </c>
      <c r="C60" s="34" t="str"/>
      <c r="D60" s="34" t="str"/>
      <c r="E60" s="35" t="n">
        <v>41002</v>
      </c>
      <c r="F60" s="34" t="inlineStr">
        <is>
          <t>2 txns</t>
        </is>
      </c>
      <c r="G60" s="34" t="inlineStr">
        <is>
          <t>balance_sheet</t>
        </is>
      </c>
    </row>
    <row r="61">
      <c r="A61" s="6" t="str"/>
      <c r="B61" s="6" t="str"/>
      <c r="C61" s="6" t="str"/>
      <c r="D61" s="6" t="inlineStr">
        <is>
          <t>INTEREST ON CAR LOAN EXPENS</t>
        </is>
      </c>
      <c r="E61" s="39" t="n">
        <v>22131</v>
      </c>
      <c r="F61" s="6" t="inlineStr">
        <is>
          <t>debit</t>
        </is>
      </c>
      <c r="G61" s="6" t="inlineStr">
        <is>
          <t>balance_sheet</t>
        </is>
      </c>
    </row>
    <row r="62">
      <c r="A62" s="6" t="str"/>
      <c r="B62" s="6" t="str"/>
      <c r="C62" s="6" t="str"/>
      <c r="D62" s="6" t="inlineStr">
        <is>
          <t>INTEREST ON OD LIMIT</t>
        </is>
      </c>
      <c r="E62" s="39" t="n">
        <v>18871</v>
      </c>
      <c r="F62" s="6" t="inlineStr">
        <is>
          <t>debit</t>
        </is>
      </c>
      <c r="G62" s="6" t="inlineStr">
        <is>
          <t>balance_sheet</t>
        </is>
      </c>
    </row>
  </sheetData>
  <mergeCells count="1">
    <mergeCell ref="A1:G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25.83203125" customWidth="1" style="2" min="1" max="1"/>
    <col width="30.83203125" customWidth="1" style="2" min="2" max="2"/>
    <col width="12.83203125" customWidth="1" style="2" min="3" max="3"/>
    <col width="45.83203125" customWidth="1" style="2" min="4" max="4"/>
    <col width="15.83203125" customWidth="1" style="2" min="5" max="5"/>
    <col width="10.83203125" customWidth="1" style="2" min="6" max="6"/>
    <col width="15.83203125" customWidth="1" style="2" min="7" max="7"/>
  </cols>
  <sheetData>
    <row r="1">
      <c r="A1" s="40" t="inlineStr">
        <is>
          <t>Jun 2024 - TRANSACTION DETAILS</t>
        </is>
      </c>
    </row>
    <row r="3">
      <c r="A3" s="5" t="inlineStr">
        <is>
          <t>Head</t>
        </is>
      </c>
      <c r="B3" s="5" t="inlineStr">
        <is>
          <t>Subhead</t>
        </is>
      </c>
      <c r="C3" s="5" t="inlineStr">
        <is>
          <t>Date</t>
        </is>
      </c>
      <c r="D3" s="5" t="inlineStr">
        <is>
          <t>Account</t>
        </is>
      </c>
      <c r="E3" s="5" t="inlineStr">
        <is>
          <t>Amount (₹)</t>
        </is>
      </c>
      <c r="F3" s="5" t="inlineStr">
        <is>
          <t>Type</t>
        </is>
      </c>
      <c r="G3" s="5" t="inlineStr">
        <is>
          <t>Source</t>
        </is>
      </c>
    </row>
    <row r="4">
      <c r="A4" s="24" t="inlineStr">
        <is>
          <t>E. COGM</t>
        </is>
      </c>
      <c r="B4" s="24" t="str"/>
      <c r="C4" s="24" t="str"/>
      <c r="D4" s="24" t="str"/>
      <c r="E4" s="37" t="n">
        <v>233079</v>
      </c>
      <c r="F4" s="24" t="inlineStr">
        <is>
          <t>5 txns</t>
        </is>
      </c>
      <c r="G4" s="24" t="str"/>
    </row>
    <row r="5">
      <c r="A5" s="34" t="str"/>
      <c r="B5" s="38" t="inlineStr">
        <is>
          <t>Raw Materials &amp; Inventory</t>
        </is>
      </c>
      <c r="C5" s="34" t="str"/>
      <c r="D5" s="34" t="str"/>
      <c r="E5" s="35" t="n">
        <v>614120.47</v>
      </c>
      <c r="F5" s="34" t="inlineStr">
        <is>
          <t>1 txns</t>
        </is>
      </c>
      <c r="G5" s="34" t="inlineStr">
        <is>
          <t>calculated</t>
        </is>
      </c>
    </row>
    <row r="6">
      <c r="A6" s="6" t="str"/>
      <c r="B6" s="6" t="str"/>
      <c r="C6" s="6" t="str"/>
      <c r="D6" s="6" t="inlineStr">
        <is>
          <t>Raw Materials (Prorated by Revenue)</t>
        </is>
      </c>
      <c r="E6" s="39" t="n">
        <v>614120.47</v>
      </c>
      <c r="F6" s="6" t="inlineStr">
        <is>
          <t>debit</t>
        </is>
      </c>
      <c r="G6" s="6" t="inlineStr">
        <is>
          <t>calculated</t>
        </is>
      </c>
    </row>
    <row r="7">
      <c r="A7" s="34" t="str"/>
      <c r="B7" s="38" t="inlineStr">
        <is>
          <t>Consumables</t>
        </is>
      </c>
      <c r="C7" s="34" t="str"/>
      <c r="D7" s="34" t="str"/>
      <c r="E7" s="35" t="n">
        <v>3980</v>
      </c>
      <c r="F7" s="34" t="inlineStr">
        <is>
          <t>1 txns</t>
        </is>
      </c>
      <c r="G7" s="34" t="inlineStr">
        <is>
          <t>balance_sheet</t>
        </is>
      </c>
    </row>
    <row r="8">
      <c r="A8" s="6" t="str"/>
      <c r="B8" s="6" t="str"/>
      <c r="C8" s="6" t="str"/>
      <c r="D8" s="6" t="inlineStr">
        <is>
          <t>CONSUMABLE EXPENSES @%</t>
        </is>
      </c>
      <c r="E8" s="39" t="n">
        <v>3980</v>
      </c>
      <c r="F8" s="6" t="inlineStr">
        <is>
          <t>debit</t>
        </is>
      </c>
      <c r="G8" s="6" t="inlineStr">
        <is>
          <t>balance_sheet</t>
        </is>
      </c>
    </row>
    <row r="9">
      <c r="A9" s="34" t="str"/>
      <c r="B9" s="38" t="inlineStr">
        <is>
          <t>Factory Maintenance</t>
        </is>
      </c>
      <c r="C9" s="34" t="str"/>
      <c r="D9" s="34" t="str"/>
      <c r="E9" s="35" t="n">
        <v>55889</v>
      </c>
      <c r="F9" s="34" t="inlineStr">
        <is>
          <t>2 txns</t>
        </is>
      </c>
      <c r="G9" s="34" t="inlineStr">
        <is>
          <t>balance_sheet</t>
        </is>
      </c>
    </row>
    <row r="10">
      <c r="A10" s="6" t="str"/>
      <c r="B10" s="6" t="str"/>
      <c r="C10" s="6" t="str"/>
      <c r="D10" s="6" t="inlineStr">
        <is>
          <t>Electricity &amp; Water Expenses</t>
        </is>
      </c>
      <c r="E10" s="39" t="n">
        <v>36889</v>
      </c>
      <c r="F10" s="6" t="inlineStr">
        <is>
          <t>debit</t>
        </is>
      </c>
      <c r="G10" s="6" t="inlineStr">
        <is>
          <t>balance_sheet</t>
        </is>
      </c>
    </row>
    <row r="11">
      <c r="A11" s="6" t="str"/>
      <c r="B11" s="6" t="str"/>
      <c r="C11" s="6" t="str"/>
      <c r="D11" s="6" t="inlineStr">
        <is>
          <t>POWER BACKUP &amp; MAITENANCE (D</t>
        </is>
      </c>
      <c r="E11" s="39" t="n">
        <v>19000</v>
      </c>
      <c r="F11" s="6" t="inlineStr">
        <is>
          <t>debit</t>
        </is>
      </c>
      <c r="G11" s="6" t="inlineStr">
        <is>
          <t>balance_sheet</t>
        </is>
      </c>
    </row>
    <row r="12">
      <c r="A12" s="34" t="str"/>
      <c r="B12" s="38" t="inlineStr">
        <is>
          <t>Inbound Transport</t>
        </is>
      </c>
      <c r="C12" s="34" t="str"/>
      <c r="D12" s="34" t="str"/>
      <c r="E12" s="35" t="n">
        <v>600</v>
      </c>
      <c r="F12" s="34" t="inlineStr">
        <is>
          <t>1 txns</t>
        </is>
      </c>
      <c r="G12" s="34" t="inlineStr">
        <is>
          <t>balance_sheet</t>
        </is>
      </c>
    </row>
    <row r="13">
      <c r="A13" s="6" t="str"/>
      <c r="B13" s="6" t="str"/>
      <c r="C13" s="6" t="str"/>
      <c r="D13" s="6" t="inlineStr">
        <is>
          <t>FREIGHT CHARES @%</t>
        </is>
      </c>
      <c r="E13" s="39" t="n">
        <v>600</v>
      </c>
      <c r="F13" s="6" t="inlineStr">
        <is>
          <t>debit</t>
        </is>
      </c>
      <c r="G13" s="6" t="inlineStr">
        <is>
          <t>balance_sheet</t>
        </is>
      </c>
    </row>
    <row r="14">
      <c r="A14" s="34" t="str"/>
      <c r="B14" s="38" t="inlineStr">
        <is>
          <t>Job work</t>
        </is>
      </c>
      <c r="C14" s="34" t="str"/>
      <c r="D14" s="34" t="str"/>
      <c r="E14" s="35" t="n">
        <v>172610</v>
      </c>
      <c r="F14" s="34" t="inlineStr">
        <is>
          <t>1 txns</t>
        </is>
      </c>
      <c r="G14" s="34" t="inlineStr">
        <is>
          <t>balance_sheet</t>
        </is>
      </c>
    </row>
    <row r="15">
      <c r="A15" s="6" t="str"/>
      <c r="B15" s="6" t="str"/>
      <c r="C15" s="6" t="str"/>
      <c r="D15" s="6" t="inlineStr">
        <is>
          <t>JOB WORK @%</t>
        </is>
      </c>
      <c r="E15" s="39" t="n">
        <v>172610</v>
      </c>
      <c r="F15" s="6" t="inlineStr">
        <is>
          <t>debit</t>
        </is>
      </c>
      <c r="G15" s="6" t="inlineStr">
        <is>
          <t>balance_sheet</t>
        </is>
      </c>
    </row>
    <row r="17">
      <c r="A17" s="24" t="inlineStr">
        <is>
          <t>F. Channel &amp; Fulfillment</t>
        </is>
      </c>
      <c r="B17" s="24" t="str"/>
      <c r="C17" s="24" t="str"/>
      <c r="D17" s="24" t="str"/>
      <c r="E17" s="37" t="n">
        <v>8535</v>
      </c>
      <c r="F17" s="24" t="inlineStr">
        <is>
          <t>2 txns</t>
        </is>
      </c>
      <c r="G17" s="24" t="str"/>
    </row>
    <row r="18">
      <c r="A18" s="34" t="str"/>
      <c r="B18" s="38" t="inlineStr">
        <is>
          <t>D2C Fees</t>
        </is>
      </c>
      <c r="C18" s="34" t="str"/>
      <c r="D18" s="34" t="str"/>
      <c r="E18" s="35" t="n">
        <v>8535</v>
      </c>
      <c r="F18" s="34" t="inlineStr">
        <is>
          <t>2 txns</t>
        </is>
      </c>
      <c r="G18" s="34" t="inlineStr">
        <is>
          <t>balance_sheet</t>
        </is>
      </c>
    </row>
    <row r="19">
      <c r="A19" s="6" t="str"/>
      <c r="B19" s="6" t="str"/>
      <c r="C19" s="6" t="str"/>
      <c r="D19" s="6" t="inlineStr">
        <is>
          <t>Freight &amp; Forwarding Charges</t>
        </is>
      </c>
      <c r="E19" s="39" t="n">
        <v>375</v>
      </c>
      <c r="F19" s="6" t="inlineStr">
        <is>
          <t>debit</t>
        </is>
      </c>
      <c r="G19" s="6" t="inlineStr">
        <is>
          <t>balance_sheet</t>
        </is>
      </c>
    </row>
    <row r="20">
      <c r="A20" s="6" t="str"/>
      <c r="B20" s="6" t="str"/>
      <c r="C20" s="6" t="str"/>
      <c r="D20" s="6" t="inlineStr">
        <is>
          <t>FREIGHT CHARGE@%</t>
        </is>
      </c>
      <c r="E20" s="39" t="n">
        <v>8160</v>
      </c>
      <c r="F20" s="6" t="inlineStr">
        <is>
          <t>debit</t>
        </is>
      </c>
      <c r="G20" s="6" t="inlineStr">
        <is>
          <t>balance_sheet</t>
        </is>
      </c>
    </row>
    <row r="22">
      <c r="A22" s="24" t="inlineStr">
        <is>
          <t>G. Sales &amp; Marketing</t>
        </is>
      </c>
      <c r="B22" s="24" t="str"/>
      <c r="C22" s="24" t="str"/>
      <c r="D22" s="24" t="str"/>
      <c r="E22" s="37" t="n">
        <v>539595.83</v>
      </c>
      <c r="F22" s="24" t="inlineStr">
        <is>
          <t>2 txns</t>
        </is>
      </c>
      <c r="G22" s="24" t="str"/>
    </row>
    <row r="23">
      <c r="A23" s="34" t="str"/>
      <c r="B23" s="38" t="inlineStr">
        <is>
          <t>Advertising &amp; Marketing</t>
        </is>
      </c>
      <c r="C23" s="34" t="str"/>
      <c r="D23" s="34" t="str"/>
      <c r="E23" s="35" t="n">
        <v>539595.83</v>
      </c>
      <c r="F23" s="34" t="inlineStr">
        <is>
          <t>2 txns</t>
        </is>
      </c>
      <c r="G23" s="34" t="inlineStr">
        <is>
          <t>balance_sheet</t>
        </is>
      </c>
    </row>
    <row r="24">
      <c r="A24" s="6" t="str"/>
      <c r="B24" s="6" t="str"/>
      <c r="C24" s="6" t="str"/>
      <c r="D24" s="6" t="inlineStr">
        <is>
          <t>Advertisement &amp; Publicity</t>
        </is>
      </c>
      <c r="E24" s="39" t="n">
        <v>219235.66</v>
      </c>
      <c r="F24" s="6" t="inlineStr">
        <is>
          <t>debit</t>
        </is>
      </c>
      <c r="G24" s="6" t="inlineStr">
        <is>
          <t>balance_sheet</t>
        </is>
      </c>
    </row>
    <row r="25">
      <c r="A25" s="6" t="str"/>
      <c r="B25" s="6" t="str"/>
      <c r="C25" s="6" t="str"/>
      <c r="D25" s="6" t="inlineStr">
        <is>
          <t>BUSINESS PROMOTION EXPENSES@</t>
        </is>
      </c>
      <c r="E25" s="39" t="n">
        <v>320360.17</v>
      </c>
      <c r="F25" s="6" t="inlineStr">
        <is>
          <t>debit</t>
        </is>
      </c>
      <c r="G25" s="6" t="inlineStr">
        <is>
          <t>balance_sheet</t>
        </is>
      </c>
    </row>
    <row r="27">
      <c r="A27" s="24" t="inlineStr">
        <is>
          <t>I. Operating Expenses</t>
        </is>
      </c>
      <c r="B27" s="24" t="str"/>
      <c r="C27" s="24" t="str"/>
      <c r="D27" s="24" t="str"/>
      <c r="E27" s="37" t="n">
        <v>601194.5600000001</v>
      </c>
      <c r="F27" s="24" t="inlineStr">
        <is>
          <t>16 txns</t>
        </is>
      </c>
      <c r="G27" s="24" t="str"/>
    </row>
    <row r="28">
      <c r="A28" s="34" t="str"/>
      <c r="B28" s="38" t="inlineStr">
        <is>
          <t>Banks &amp; Finance Charges</t>
        </is>
      </c>
      <c r="C28" s="34" t="str"/>
      <c r="D28" s="34" t="str"/>
      <c r="E28" s="35" t="n">
        <v>63506.42</v>
      </c>
      <c r="F28" s="34" t="inlineStr">
        <is>
          <t>2 txns</t>
        </is>
      </c>
      <c r="G28" s="34" t="inlineStr">
        <is>
          <t>balance_sheet</t>
        </is>
      </c>
    </row>
    <row r="29">
      <c r="A29" s="6" t="str"/>
      <c r="B29" s="6" t="str"/>
      <c r="C29" s="6" t="str"/>
      <c r="D29" s="6" t="inlineStr">
        <is>
          <t>Bank Charges@%</t>
        </is>
      </c>
      <c r="E29" s="39" t="n">
        <v>51006.42</v>
      </c>
      <c r="F29" s="6" t="inlineStr">
        <is>
          <t>debit</t>
        </is>
      </c>
      <c r="G29" s="6" t="inlineStr">
        <is>
          <t>balance_sheet</t>
        </is>
      </c>
    </row>
    <row r="30">
      <c r="A30" s="6" t="str"/>
      <c r="B30" s="6" t="str"/>
      <c r="C30" s="6" t="str"/>
      <c r="D30" s="6" t="inlineStr">
        <is>
          <t>PROCESSING FEE</t>
        </is>
      </c>
      <c r="E30" s="39" t="n">
        <v>12500</v>
      </c>
      <c r="F30" s="6" t="inlineStr">
        <is>
          <t>debit</t>
        </is>
      </c>
      <c r="G30" s="6" t="inlineStr">
        <is>
          <t>balance_sheet</t>
        </is>
      </c>
    </row>
    <row r="31">
      <c r="A31" s="34" t="str"/>
      <c r="B31" s="38" t="inlineStr">
        <is>
          <t>Other Operating Expenses</t>
        </is>
      </c>
      <c r="C31" s="34" t="str"/>
      <c r="D31" s="34" t="str"/>
      <c r="E31" s="35" t="n">
        <v>25312.24</v>
      </c>
      <c r="F31" s="34" t="inlineStr">
        <is>
          <t>3 txns</t>
        </is>
      </c>
      <c r="G31" s="34" t="inlineStr">
        <is>
          <t>balance_sheet</t>
        </is>
      </c>
    </row>
    <row r="32">
      <c r="A32" s="6" t="str"/>
      <c r="B32" s="6" t="str"/>
      <c r="C32" s="6" t="str"/>
      <c r="D32" s="6" t="inlineStr">
        <is>
          <t>CONSUMABLES EXPENSES</t>
        </is>
      </c>
      <c r="E32" s="39" t="n">
        <v>1092</v>
      </c>
      <c r="F32" s="6" t="inlineStr">
        <is>
          <t>debit</t>
        </is>
      </c>
      <c r="G32" s="6" t="inlineStr">
        <is>
          <t>balance_sheet</t>
        </is>
      </c>
    </row>
    <row r="33">
      <c r="A33" s="6" t="str"/>
      <c r="B33" s="6" t="str"/>
      <c r="C33" s="6" t="str"/>
      <c r="D33" s="6" t="inlineStr">
        <is>
          <t>Rounded Off</t>
        </is>
      </c>
      <c r="E33" s="39" t="n">
        <v>-65.76000000000001</v>
      </c>
      <c r="F33" s="6" t="inlineStr">
        <is>
          <t>debit</t>
        </is>
      </c>
      <c r="G33" s="6" t="inlineStr">
        <is>
          <t>balance_sheet</t>
        </is>
      </c>
    </row>
    <row r="34">
      <c r="A34" s="6" t="str"/>
      <c r="B34" s="6" t="str"/>
      <c r="C34" s="6" t="str"/>
      <c r="D34" s="6" t="inlineStr">
        <is>
          <t>TRANSPOTATION EXPENSES</t>
        </is>
      </c>
      <c r="E34" s="39" t="n">
        <v>24286</v>
      </c>
      <c r="F34" s="6" t="inlineStr">
        <is>
          <t>debit</t>
        </is>
      </c>
      <c r="G34" s="6" t="inlineStr">
        <is>
          <t>balance_sheet</t>
        </is>
      </c>
    </row>
    <row r="35">
      <c r="A35" s="34" t="str"/>
      <c r="B35" s="38" t="inlineStr">
        <is>
          <t>Salaries (Admin Mgmt)</t>
        </is>
      </c>
      <c r="C35" s="34" t="str"/>
      <c r="D35" s="34" t="str"/>
      <c r="E35" s="35" t="n">
        <v>279331</v>
      </c>
      <c r="F35" s="34" t="inlineStr">
        <is>
          <t>2 txns</t>
        </is>
      </c>
      <c r="G35" s="34" t="inlineStr">
        <is>
          <t>balance_sheet</t>
        </is>
      </c>
    </row>
    <row r="36">
      <c r="A36" s="6" t="str"/>
      <c r="B36" s="6" t="str"/>
      <c r="C36" s="6" t="str"/>
      <c r="D36" s="6" t="inlineStr">
        <is>
          <t>ESI EMPLOYER CONTRIBUTTION E</t>
        </is>
      </c>
      <c r="E36" s="39" t="n">
        <v>3028</v>
      </c>
      <c r="F36" s="6" t="inlineStr">
        <is>
          <t>debit</t>
        </is>
      </c>
      <c r="G36" s="6" t="inlineStr">
        <is>
          <t>balance_sheet</t>
        </is>
      </c>
    </row>
    <row r="37">
      <c r="A37" s="6" t="str"/>
      <c r="B37" s="6" t="str"/>
      <c r="C37" s="6" t="str"/>
      <c r="D37" s="6" t="inlineStr">
        <is>
          <t>Salary Expenses</t>
        </is>
      </c>
      <c r="E37" s="39" t="n">
        <v>276303</v>
      </c>
      <c r="F37" s="6" t="inlineStr">
        <is>
          <t>debit</t>
        </is>
      </c>
      <c r="G37" s="6" t="inlineStr">
        <is>
          <t>balance_sheet</t>
        </is>
      </c>
    </row>
    <row r="38">
      <c r="A38" s="34" t="str"/>
      <c r="B38" s="38" t="inlineStr">
        <is>
          <t>Miscellaneous (Travel, insurance)</t>
        </is>
      </c>
      <c r="C38" s="34" t="str"/>
      <c r="D38" s="34" t="str"/>
      <c r="E38" s="35" t="n">
        <v>43619</v>
      </c>
      <c r="F38" s="34" t="inlineStr">
        <is>
          <t>1 txns</t>
        </is>
      </c>
      <c r="G38" s="34" t="inlineStr">
        <is>
          <t>balance_sheet</t>
        </is>
      </c>
    </row>
    <row r="39">
      <c r="A39" s="6" t="str"/>
      <c r="B39" s="6" t="str"/>
      <c r="C39" s="6" t="str"/>
      <c r="D39" s="6" t="inlineStr">
        <is>
          <t>INSURANCE EXPENSES@%</t>
        </is>
      </c>
      <c r="E39" s="39" t="n">
        <v>43619</v>
      </c>
      <c r="F39" s="6" t="inlineStr">
        <is>
          <t>debit</t>
        </is>
      </c>
      <c r="G39" s="6" t="inlineStr">
        <is>
          <t>balance_sheet</t>
        </is>
      </c>
    </row>
    <row r="40">
      <c r="A40" s="34" t="str"/>
      <c r="B40" s="38" t="inlineStr">
        <is>
          <t>Legal &amp; CA expenses</t>
        </is>
      </c>
      <c r="C40" s="34" t="str"/>
      <c r="D40" s="34" t="str"/>
      <c r="E40" s="35" t="n">
        <v>7500</v>
      </c>
      <c r="F40" s="34" t="inlineStr">
        <is>
          <t>1 txns</t>
        </is>
      </c>
      <c r="G40" s="34" t="inlineStr">
        <is>
          <t>balance_sheet</t>
        </is>
      </c>
    </row>
    <row r="41">
      <c r="A41" s="6" t="str"/>
      <c r="B41" s="6" t="str"/>
      <c r="C41" s="6" t="str"/>
      <c r="D41" s="6" t="inlineStr">
        <is>
          <t>LEGAL &amp; PROFESSIONAL EXPENS</t>
        </is>
      </c>
      <c r="E41" s="39" t="n">
        <v>7500</v>
      </c>
      <c r="F41" s="6" t="inlineStr">
        <is>
          <t>debit</t>
        </is>
      </c>
      <c r="G41" s="6" t="inlineStr">
        <is>
          <t>balance_sheet</t>
        </is>
      </c>
    </row>
    <row r="42">
      <c r="A42" s="34" t="str"/>
      <c r="B42" s="38" t="inlineStr">
        <is>
          <t>Administrative Expenses</t>
        </is>
      </c>
      <c r="C42" s="34" t="str"/>
      <c r="D42" s="34" t="str"/>
      <c r="E42" s="35" t="n">
        <v>173915.9</v>
      </c>
      <c r="F42" s="34" t="inlineStr">
        <is>
          <t>5 txns</t>
        </is>
      </c>
      <c r="G42" s="34" t="inlineStr">
        <is>
          <t>balance_sheet</t>
        </is>
      </c>
    </row>
    <row r="43">
      <c r="A43" s="6" t="str"/>
      <c r="B43" s="6" t="str"/>
      <c r="C43" s="6" t="str"/>
      <c r="D43" s="6" t="inlineStr">
        <is>
          <t>OFFICE EXPENSES</t>
        </is>
      </c>
      <c r="E43" s="39" t="n">
        <v>2500</v>
      </c>
      <c r="F43" s="6" t="inlineStr">
        <is>
          <t>debit</t>
        </is>
      </c>
      <c r="G43" s="6" t="inlineStr">
        <is>
          <t>balance_sheet</t>
        </is>
      </c>
    </row>
    <row r="44">
      <c r="A44" s="6" t="str"/>
      <c r="B44" s="6" t="str"/>
      <c r="C44" s="6" t="str"/>
      <c r="D44" s="6" t="inlineStr">
        <is>
          <t>Office Rent</t>
        </is>
      </c>
      <c r="E44" s="39" t="n">
        <v>134375</v>
      </c>
      <c r="F44" s="6" t="inlineStr">
        <is>
          <t>debit</t>
        </is>
      </c>
      <c r="G44" s="6" t="inlineStr">
        <is>
          <t>balance_sheet</t>
        </is>
      </c>
    </row>
    <row r="45">
      <c r="A45" s="6" t="str"/>
      <c r="B45" s="6" t="str"/>
      <c r="C45" s="6" t="str"/>
      <c r="D45" s="6" t="inlineStr">
        <is>
          <t>REPAIRE &amp; MAINTENANCE EXPENS</t>
        </is>
      </c>
      <c r="E45" s="39" t="n">
        <v>17291.69</v>
      </c>
      <c r="F45" s="6" t="inlineStr">
        <is>
          <t>debit</t>
        </is>
      </c>
      <c r="G45" s="6" t="inlineStr">
        <is>
          <t>balance_sheet</t>
        </is>
      </c>
    </row>
    <row r="46">
      <c r="A46" s="6" t="str"/>
      <c r="B46" s="6" t="str"/>
      <c r="C46" s="6" t="str"/>
      <c r="D46" s="6" t="inlineStr">
        <is>
          <t>REPAIRE &amp; MAINTENANCE EXPENS</t>
        </is>
      </c>
      <c r="E46" s="39" t="n">
        <v>3000</v>
      </c>
      <c r="F46" s="6" t="inlineStr">
        <is>
          <t>debit</t>
        </is>
      </c>
      <c r="G46" s="6" t="inlineStr">
        <is>
          <t>balance_sheet</t>
        </is>
      </c>
    </row>
    <row r="47">
      <c r="A47" s="6" t="str"/>
      <c r="B47" s="6" t="str"/>
      <c r="C47" s="6" t="str"/>
      <c r="D47" s="6" t="inlineStr">
        <is>
          <t>VEHICAL RUNING MAINTENANCE</t>
        </is>
      </c>
      <c r="E47" s="39" t="n">
        <v>16749.21</v>
      </c>
      <c r="F47" s="6" t="inlineStr">
        <is>
          <t>debit</t>
        </is>
      </c>
      <c r="G47" s="6" t="inlineStr">
        <is>
          <t>balance_sheet</t>
        </is>
      </c>
    </row>
    <row r="48">
      <c r="A48" s="34" t="str"/>
      <c r="B48" s="38" t="inlineStr">
        <is>
          <t>Staff Welfare &amp; Events</t>
        </is>
      </c>
      <c r="C48" s="34" t="str"/>
      <c r="D48" s="34" t="str"/>
      <c r="E48" s="35" t="n">
        <v>8010</v>
      </c>
      <c r="F48" s="34" t="inlineStr">
        <is>
          <t>2 txns</t>
        </is>
      </c>
      <c r="G48" s="34" t="inlineStr">
        <is>
          <t>balance_sheet</t>
        </is>
      </c>
    </row>
    <row r="49">
      <c r="A49" s="6" t="str"/>
      <c r="B49" s="6" t="str"/>
      <c r="C49" s="6" t="str"/>
      <c r="D49" s="6" t="inlineStr">
        <is>
          <t>STAFF WELFARE EXPENSES</t>
        </is>
      </c>
      <c r="E49" s="39" t="n">
        <v>3812</v>
      </c>
      <c r="F49" s="6" t="inlineStr">
        <is>
          <t>debit</t>
        </is>
      </c>
      <c r="G49" s="6" t="inlineStr">
        <is>
          <t>balance_sheet</t>
        </is>
      </c>
    </row>
    <row r="50">
      <c r="A50" s="6" t="str"/>
      <c r="B50" s="6" t="str"/>
      <c r="C50" s="6" t="str"/>
      <c r="D50" s="6" t="inlineStr">
        <is>
          <t>Staff Welfare Expenses @%</t>
        </is>
      </c>
      <c r="E50" s="39" t="n">
        <v>4198</v>
      </c>
      <c r="F50" s="6" t="inlineStr">
        <is>
          <t>debit</t>
        </is>
      </c>
      <c r="G50" s="6" t="inlineStr">
        <is>
          <t>balance_sheet</t>
        </is>
      </c>
    </row>
    <row r="52">
      <c r="A52" s="24" t="inlineStr">
        <is>
          <t>J. Non-Operating</t>
        </is>
      </c>
      <c r="B52" s="24" t="str"/>
      <c r="C52" s="24" t="str"/>
      <c r="D52" s="24" t="str"/>
      <c r="E52" s="37" t="n">
        <v>34664</v>
      </c>
      <c r="F52" s="24" t="inlineStr">
        <is>
          <t>2 txns</t>
        </is>
      </c>
      <c r="G52" s="24" t="str"/>
    </row>
    <row r="53">
      <c r="A53" s="34" t="str"/>
      <c r="B53" s="38" t="inlineStr">
        <is>
          <t>Less: Interest Expense</t>
        </is>
      </c>
      <c r="C53" s="34" t="str"/>
      <c r="D53" s="34" t="str"/>
      <c r="E53" s="35" t="n">
        <v>34664</v>
      </c>
      <c r="F53" s="34" t="inlineStr">
        <is>
          <t>2 txns</t>
        </is>
      </c>
      <c r="G53" s="34" t="inlineStr">
        <is>
          <t>balance_sheet</t>
        </is>
      </c>
    </row>
    <row r="54">
      <c r="A54" s="6" t="str"/>
      <c r="B54" s="6" t="str"/>
      <c r="C54" s="6" t="str"/>
      <c r="D54" s="6" t="inlineStr">
        <is>
          <t>INTEREST ON CAR LOAN EXPENS</t>
        </is>
      </c>
      <c r="E54" s="39" t="n">
        <v>22367</v>
      </c>
      <c r="F54" s="6" t="inlineStr">
        <is>
          <t>debit</t>
        </is>
      </c>
      <c r="G54" s="6" t="inlineStr">
        <is>
          <t>balance_sheet</t>
        </is>
      </c>
    </row>
    <row r="55">
      <c r="A55" s="6" t="str"/>
      <c r="B55" s="6" t="str"/>
      <c r="C55" s="6" t="str"/>
      <c r="D55" s="6" t="inlineStr">
        <is>
          <t>INTEREST ON OD LIMIT</t>
        </is>
      </c>
      <c r="E55" s="39" t="n">
        <v>12297</v>
      </c>
      <c r="F55" s="6" t="inlineStr">
        <is>
          <t>debit</t>
        </is>
      </c>
      <c r="G55" s="6" t="inlineStr">
        <is>
          <t>balance_sheet</t>
        </is>
      </c>
    </row>
  </sheetData>
  <mergeCells count="1">
    <mergeCell ref="A1:G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25.83203125" customWidth="1" style="2" min="1" max="1"/>
    <col width="30.83203125" customWidth="1" style="2" min="2" max="2"/>
    <col width="12.83203125" customWidth="1" style="2" min="3" max="3"/>
    <col width="45.83203125" customWidth="1" style="2" min="4" max="4"/>
    <col width="15.83203125" customWidth="1" style="2" min="5" max="5"/>
    <col width="10.83203125" customWidth="1" style="2" min="6" max="6"/>
    <col width="15.83203125" customWidth="1" style="2" min="7" max="7"/>
  </cols>
  <sheetData>
    <row r="1">
      <c r="A1" s="40" t="inlineStr">
        <is>
          <t>May 2024 - TRANSACTION DETAILS</t>
        </is>
      </c>
    </row>
    <row r="3">
      <c r="A3" s="5" t="inlineStr">
        <is>
          <t>Head</t>
        </is>
      </c>
      <c r="B3" s="5" t="inlineStr">
        <is>
          <t>Subhead</t>
        </is>
      </c>
      <c r="C3" s="5" t="inlineStr">
        <is>
          <t>Date</t>
        </is>
      </c>
      <c r="D3" s="5" t="inlineStr">
        <is>
          <t>Account</t>
        </is>
      </c>
      <c r="E3" s="5" t="inlineStr">
        <is>
          <t>Amount (₹)</t>
        </is>
      </c>
      <c r="F3" s="5" t="inlineStr">
        <is>
          <t>Type</t>
        </is>
      </c>
      <c r="G3" s="5" t="inlineStr">
        <is>
          <t>Source</t>
        </is>
      </c>
    </row>
    <row r="4">
      <c r="A4" s="24" t="inlineStr">
        <is>
          <t>E. COGM</t>
        </is>
      </c>
      <c r="B4" s="24" t="str"/>
      <c r="C4" s="24" t="str"/>
      <c r="D4" s="24" t="str"/>
      <c r="E4" s="37" t="n">
        <v>141730.95</v>
      </c>
      <c r="F4" s="24" t="inlineStr">
        <is>
          <t>5 txns</t>
        </is>
      </c>
      <c r="G4" s="24" t="str"/>
    </row>
    <row r="5">
      <c r="A5" s="34" t="str"/>
      <c r="B5" s="38" t="inlineStr">
        <is>
          <t>Raw Materials &amp; Inventory</t>
        </is>
      </c>
      <c r="C5" s="34" t="str"/>
      <c r="D5" s="34" t="str"/>
      <c r="E5" s="35" t="n">
        <v>431398.86</v>
      </c>
      <c r="F5" s="34" t="inlineStr">
        <is>
          <t>1 txns</t>
        </is>
      </c>
      <c r="G5" s="34" t="inlineStr">
        <is>
          <t>calculated</t>
        </is>
      </c>
    </row>
    <row r="6">
      <c r="A6" s="6" t="str"/>
      <c r="B6" s="6" t="str"/>
      <c r="C6" s="6" t="str"/>
      <c r="D6" s="6" t="inlineStr">
        <is>
          <t>Raw Materials (Prorated by Revenue)</t>
        </is>
      </c>
      <c r="E6" s="39" t="n">
        <v>431398.86</v>
      </c>
      <c r="F6" s="6" t="inlineStr">
        <is>
          <t>debit</t>
        </is>
      </c>
      <c r="G6" s="6" t="inlineStr">
        <is>
          <t>calculated</t>
        </is>
      </c>
    </row>
    <row r="7">
      <c r="A7" s="34" t="str"/>
      <c r="B7" s="38" t="inlineStr">
        <is>
          <t>Consumables</t>
        </is>
      </c>
      <c r="C7" s="34" t="str"/>
      <c r="D7" s="34" t="str"/>
      <c r="E7" s="35" t="n">
        <v>9485</v>
      </c>
      <c r="F7" s="34" t="inlineStr">
        <is>
          <t>1 txns</t>
        </is>
      </c>
      <c r="G7" s="34" t="inlineStr">
        <is>
          <t>balance_sheet</t>
        </is>
      </c>
    </row>
    <row r="8">
      <c r="A8" s="6" t="str"/>
      <c r="B8" s="6" t="str"/>
      <c r="C8" s="6" t="str"/>
      <c r="D8" s="6" t="inlineStr">
        <is>
          <t>CONSUMABLE EXPENSES @%</t>
        </is>
      </c>
      <c r="E8" s="39" t="n">
        <v>9485</v>
      </c>
      <c r="F8" s="6" t="inlineStr">
        <is>
          <t>debit</t>
        </is>
      </c>
      <c r="G8" s="6" t="inlineStr">
        <is>
          <t>balance_sheet</t>
        </is>
      </c>
    </row>
    <row r="9">
      <c r="A9" s="34" t="str"/>
      <c r="B9" s="38" t="inlineStr">
        <is>
          <t>Factory Maintenance</t>
        </is>
      </c>
      <c r="C9" s="34" t="str"/>
      <c r="D9" s="34" t="str"/>
      <c r="E9" s="35" t="n">
        <v>31845</v>
      </c>
      <c r="F9" s="34" t="inlineStr">
        <is>
          <t>2 txns</t>
        </is>
      </c>
      <c r="G9" s="34" t="inlineStr">
        <is>
          <t>balance_sheet</t>
        </is>
      </c>
    </row>
    <row r="10">
      <c r="A10" s="6" t="str"/>
      <c r="B10" s="6" t="str"/>
      <c r="C10" s="6" t="str"/>
      <c r="D10" s="6" t="inlineStr">
        <is>
          <t>Electricity &amp; Water Expenses</t>
        </is>
      </c>
      <c r="E10" s="39" t="n">
        <v>12845</v>
      </c>
      <c r="F10" s="6" t="inlineStr">
        <is>
          <t>debit</t>
        </is>
      </c>
      <c r="G10" s="6" t="inlineStr">
        <is>
          <t>balance_sheet</t>
        </is>
      </c>
    </row>
    <row r="11">
      <c r="A11" s="6" t="str"/>
      <c r="B11" s="6" t="str"/>
      <c r="C11" s="6" t="str"/>
      <c r="D11" s="6" t="inlineStr">
        <is>
          <t>POWER BACKUP &amp; MAITENANCE (D</t>
        </is>
      </c>
      <c r="E11" s="39" t="n">
        <v>19000</v>
      </c>
      <c r="F11" s="6" t="inlineStr">
        <is>
          <t>debit</t>
        </is>
      </c>
      <c r="G11" s="6" t="inlineStr">
        <is>
          <t>balance_sheet</t>
        </is>
      </c>
    </row>
    <row r="12">
      <c r="A12" s="34" t="str"/>
      <c r="B12" s="38" t="inlineStr">
        <is>
          <t>Inbound Transport</t>
        </is>
      </c>
      <c r="C12" s="34" t="str"/>
      <c r="D12" s="34" t="str"/>
      <c r="E12" s="35" t="n">
        <v>3300</v>
      </c>
      <c r="F12" s="34" t="inlineStr">
        <is>
          <t>1 txns</t>
        </is>
      </c>
      <c r="G12" s="34" t="inlineStr">
        <is>
          <t>balance_sheet</t>
        </is>
      </c>
    </row>
    <row r="13">
      <c r="A13" s="6" t="str"/>
      <c r="B13" s="6" t="str"/>
      <c r="C13" s="6" t="str"/>
      <c r="D13" s="6" t="inlineStr">
        <is>
          <t>FREIGHT CHARES @%</t>
        </is>
      </c>
      <c r="E13" s="39" t="n">
        <v>3300</v>
      </c>
      <c r="F13" s="6" t="inlineStr">
        <is>
          <t>debit</t>
        </is>
      </c>
      <c r="G13" s="6" t="inlineStr">
        <is>
          <t>balance_sheet</t>
        </is>
      </c>
    </row>
    <row r="14">
      <c r="A14" s="34" t="str"/>
      <c r="B14" s="38" t="inlineStr">
        <is>
          <t>Job work</t>
        </is>
      </c>
      <c r="C14" s="34" t="str"/>
      <c r="D14" s="34" t="str"/>
      <c r="E14" s="35" t="n">
        <v>97100.95</v>
      </c>
      <c r="F14" s="34" t="inlineStr">
        <is>
          <t>1 txns</t>
        </is>
      </c>
      <c r="G14" s="34" t="inlineStr">
        <is>
          <t>balance_sheet</t>
        </is>
      </c>
    </row>
    <row r="15">
      <c r="A15" s="6" t="str"/>
      <c r="B15" s="6" t="str"/>
      <c r="C15" s="6" t="str"/>
      <c r="D15" s="6" t="inlineStr">
        <is>
          <t>JOB WORK @%</t>
        </is>
      </c>
      <c r="E15" s="39" t="n">
        <v>97100.95</v>
      </c>
      <c r="F15" s="6" t="inlineStr">
        <is>
          <t>debit</t>
        </is>
      </c>
      <c r="G15" s="6" t="inlineStr">
        <is>
          <t>balance_sheet</t>
        </is>
      </c>
    </row>
    <row r="17">
      <c r="A17" s="24" t="inlineStr">
        <is>
          <t>F. Channel &amp; Fulfillment</t>
        </is>
      </c>
      <c r="B17" s="24" t="str"/>
      <c r="C17" s="24" t="str"/>
      <c r="D17" s="24" t="str"/>
      <c r="E17" s="37" t="n">
        <v>15375</v>
      </c>
      <c r="F17" s="24" t="inlineStr">
        <is>
          <t>2 txns</t>
        </is>
      </c>
      <c r="G17" s="24" t="str"/>
    </row>
    <row r="18">
      <c r="A18" s="34" t="str"/>
      <c r="B18" s="38" t="inlineStr">
        <is>
          <t>D2C Fees</t>
        </is>
      </c>
      <c r="C18" s="34" t="str"/>
      <c r="D18" s="34" t="str"/>
      <c r="E18" s="35" t="n">
        <v>15375</v>
      </c>
      <c r="F18" s="34" t="inlineStr">
        <is>
          <t>2 txns</t>
        </is>
      </c>
      <c r="G18" s="34" t="inlineStr">
        <is>
          <t>balance_sheet</t>
        </is>
      </c>
    </row>
    <row r="19">
      <c r="A19" s="6" t="str"/>
      <c r="B19" s="6" t="str"/>
      <c r="C19" s="6" t="str"/>
      <c r="D19" s="6" t="inlineStr">
        <is>
          <t>COURIER &amp; POSTAGE EXPENSE</t>
        </is>
      </c>
      <c r="E19" s="39" t="n">
        <v>4275</v>
      </c>
      <c r="F19" s="6" t="inlineStr">
        <is>
          <t>debit</t>
        </is>
      </c>
      <c r="G19" s="6" t="inlineStr">
        <is>
          <t>balance_sheet</t>
        </is>
      </c>
    </row>
    <row r="20">
      <c r="A20" s="6" t="str"/>
      <c r="B20" s="6" t="str"/>
      <c r="C20" s="6" t="str"/>
      <c r="D20" s="6" t="inlineStr">
        <is>
          <t>Freight &amp; Forwarding Charges</t>
        </is>
      </c>
      <c r="E20" s="39" t="n">
        <v>11100</v>
      </c>
      <c r="F20" s="6" t="inlineStr">
        <is>
          <t>debit</t>
        </is>
      </c>
      <c r="G20" s="6" t="inlineStr">
        <is>
          <t>balance_sheet</t>
        </is>
      </c>
    </row>
    <row r="22">
      <c r="A22" s="24" t="inlineStr">
        <is>
          <t>G. Sales &amp; Marketing</t>
        </is>
      </c>
      <c r="B22" s="24" t="str"/>
      <c r="C22" s="24" t="str"/>
      <c r="D22" s="24" t="str"/>
      <c r="E22" s="37" t="n">
        <v>476482.31</v>
      </c>
      <c r="F22" s="24" t="inlineStr">
        <is>
          <t>2 txns</t>
        </is>
      </c>
      <c r="G22" s="24" t="str"/>
    </row>
    <row r="23">
      <c r="A23" s="34" t="str"/>
      <c r="B23" s="38" t="inlineStr">
        <is>
          <t>Advertising &amp; Marketing</t>
        </is>
      </c>
      <c r="C23" s="34" t="str"/>
      <c r="D23" s="34" t="str"/>
      <c r="E23" s="35" t="n">
        <v>476482.31</v>
      </c>
      <c r="F23" s="34" t="inlineStr">
        <is>
          <t>2 txns</t>
        </is>
      </c>
      <c r="G23" s="34" t="inlineStr">
        <is>
          <t>balance_sheet</t>
        </is>
      </c>
    </row>
    <row r="24">
      <c r="A24" s="6" t="str"/>
      <c r="B24" s="6" t="str"/>
      <c r="C24" s="6" t="str"/>
      <c r="D24" s="6" t="inlineStr">
        <is>
          <t>Advertisement &amp; Publicity</t>
        </is>
      </c>
      <c r="E24" s="39" t="n">
        <v>212168.94</v>
      </c>
      <c r="F24" s="6" t="inlineStr">
        <is>
          <t>debit</t>
        </is>
      </c>
      <c r="G24" s="6" t="inlineStr">
        <is>
          <t>balance_sheet</t>
        </is>
      </c>
    </row>
    <row r="25">
      <c r="A25" s="6" t="str"/>
      <c r="B25" s="6" t="str"/>
      <c r="C25" s="6" t="str"/>
      <c r="D25" s="6" t="inlineStr">
        <is>
          <t>BUSINESS PROMOTION EXPENSES@</t>
        </is>
      </c>
      <c r="E25" s="39" t="n">
        <v>264313.37</v>
      </c>
      <c r="F25" s="6" t="inlineStr">
        <is>
          <t>debit</t>
        </is>
      </c>
      <c r="G25" s="6" t="inlineStr">
        <is>
          <t>balance_sheet</t>
        </is>
      </c>
    </row>
    <row r="27">
      <c r="A27" s="24" t="inlineStr">
        <is>
          <t>I. Operating Expenses</t>
        </is>
      </c>
      <c r="B27" s="24" t="str"/>
      <c r="C27" s="24" t="str"/>
      <c r="D27" s="24" t="str"/>
      <c r="E27" s="37" t="n">
        <v>685339.49</v>
      </c>
      <c r="F27" s="24" t="inlineStr">
        <is>
          <t>16 txns</t>
        </is>
      </c>
      <c r="G27" s="24" t="str"/>
    </row>
    <row r="28">
      <c r="A28" s="34" t="str"/>
      <c r="B28" s="38" t="inlineStr">
        <is>
          <t>Legal &amp; CA expenses</t>
        </is>
      </c>
      <c r="C28" s="34" t="str"/>
      <c r="D28" s="34" t="str"/>
      <c r="E28" s="35" t="n">
        <v>170122</v>
      </c>
      <c r="F28" s="34" t="inlineStr">
        <is>
          <t>2 txns</t>
        </is>
      </c>
      <c r="G28" s="34" t="inlineStr">
        <is>
          <t>balance_sheet</t>
        </is>
      </c>
    </row>
    <row r="29">
      <c r="A29" s="6" t="str"/>
      <c r="B29" s="6" t="str"/>
      <c r="C29" s="6" t="str"/>
      <c r="D29" s="6" t="inlineStr">
        <is>
          <t>ACCOUNTING &amp; RETURN FILLING</t>
        </is>
      </c>
      <c r="E29" s="39" t="n">
        <v>10622</v>
      </c>
      <c r="F29" s="6" t="inlineStr">
        <is>
          <t>debit</t>
        </is>
      </c>
      <c r="G29" s="6" t="inlineStr">
        <is>
          <t>balance_sheet</t>
        </is>
      </c>
    </row>
    <row r="30">
      <c r="A30" s="6" t="str"/>
      <c r="B30" s="6" t="str"/>
      <c r="C30" s="6" t="str"/>
      <c r="D30" s="6" t="inlineStr">
        <is>
          <t>LEGAL &amp; PROFESSIONAL EXPENS</t>
        </is>
      </c>
      <c r="E30" s="39" t="n">
        <v>159500</v>
      </c>
      <c r="F30" s="6" t="inlineStr">
        <is>
          <t>debit</t>
        </is>
      </c>
      <c r="G30" s="6" t="inlineStr">
        <is>
          <t>balance_sheet</t>
        </is>
      </c>
    </row>
    <row r="31">
      <c r="A31" s="34" t="str"/>
      <c r="B31" s="38" t="inlineStr">
        <is>
          <t>Banks &amp; Finance Charges</t>
        </is>
      </c>
      <c r="C31" s="34" t="str"/>
      <c r="D31" s="34" t="str"/>
      <c r="E31" s="35" t="n">
        <v>224.5</v>
      </c>
      <c r="F31" s="34" t="inlineStr">
        <is>
          <t>1 txns</t>
        </is>
      </c>
      <c r="G31" s="34" t="inlineStr">
        <is>
          <t>balance_sheet</t>
        </is>
      </c>
    </row>
    <row r="32">
      <c r="A32" s="6" t="str"/>
      <c r="B32" s="6" t="str"/>
      <c r="C32" s="6" t="str"/>
      <c r="D32" s="6" t="inlineStr">
        <is>
          <t>Bank Charges@%</t>
        </is>
      </c>
      <c r="E32" s="39" t="n">
        <v>224.5</v>
      </c>
      <c r="F32" s="6" t="inlineStr">
        <is>
          <t>debit</t>
        </is>
      </c>
      <c r="G32" s="6" t="inlineStr">
        <is>
          <t>balance_sheet</t>
        </is>
      </c>
    </row>
    <row r="33">
      <c r="A33" s="34" t="str"/>
      <c r="B33" s="38" t="inlineStr">
        <is>
          <t>Other Operating Expenses</t>
        </is>
      </c>
      <c r="C33" s="34" t="str"/>
      <c r="D33" s="34" t="str"/>
      <c r="E33" s="35" t="n">
        <v>12707.31</v>
      </c>
      <c r="F33" s="34" t="inlineStr">
        <is>
          <t>4 txns</t>
        </is>
      </c>
      <c r="G33" s="34" t="inlineStr">
        <is>
          <t>balance_sheet</t>
        </is>
      </c>
    </row>
    <row r="34">
      <c r="A34" s="6" t="str"/>
      <c r="B34" s="6" t="str"/>
      <c r="C34" s="6" t="str"/>
      <c r="D34" s="6" t="inlineStr">
        <is>
          <t>CONSUMABLES EXPENSES</t>
        </is>
      </c>
      <c r="E34" s="39" t="n">
        <v>2390</v>
      </c>
      <c r="F34" s="6" t="inlineStr">
        <is>
          <t>debit</t>
        </is>
      </c>
      <c r="G34" s="6" t="inlineStr">
        <is>
          <t>balance_sheet</t>
        </is>
      </c>
    </row>
    <row r="35">
      <c r="A35" s="6" t="str"/>
      <c r="B35" s="6" t="str"/>
      <c r="C35" s="6" t="str"/>
      <c r="D35" s="6" t="inlineStr">
        <is>
          <t>PRIOR PERIOD EXP.</t>
        </is>
      </c>
      <c r="E35" s="39" t="n">
        <v>295</v>
      </c>
      <c r="F35" s="6" t="inlineStr">
        <is>
          <t>debit</t>
        </is>
      </c>
      <c r="G35" s="6" t="inlineStr">
        <is>
          <t>balance_sheet</t>
        </is>
      </c>
    </row>
    <row r="36">
      <c r="A36" s="6" t="str"/>
      <c r="B36" s="6" t="str"/>
      <c r="C36" s="6" t="str"/>
      <c r="D36" s="6" t="inlineStr">
        <is>
          <t>Rounded Off</t>
        </is>
      </c>
      <c r="E36" s="39" t="n">
        <v>39.31</v>
      </c>
      <c r="F36" s="6" t="inlineStr">
        <is>
          <t>debit</t>
        </is>
      </c>
      <c r="G36" s="6" t="inlineStr">
        <is>
          <t>balance_sheet</t>
        </is>
      </c>
    </row>
    <row r="37">
      <c r="A37" s="6" t="str"/>
      <c r="B37" s="6" t="str"/>
      <c r="C37" s="6" t="str"/>
      <c r="D37" s="6" t="inlineStr">
        <is>
          <t>TRANSPOTATION EXPENSES</t>
        </is>
      </c>
      <c r="E37" s="39" t="n">
        <v>9983</v>
      </c>
      <c r="F37" s="6" t="inlineStr">
        <is>
          <t>debit</t>
        </is>
      </c>
      <c r="G37" s="6" t="inlineStr">
        <is>
          <t>balance_sheet</t>
        </is>
      </c>
    </row>
    <row r="38">
      <c r="A38" s="34" t="str"/>
      <c r="B38" s="38" t="inlineStr">
        <is>
          <t>Salaries (Admin Mgmt)</t>
        </is>
      </c>
      <c r="C38" s="34" t="str"/>
      <c r="D38" s="34" t="str"/>
      <c r="E38" s="35" t="n">
        <v>267920</v>
      </c>
      <c r="F38" s="34" t="inlineStr">
        <is>
          <t>2 txns</t>
        </is>
      </c>
      <c r="G38" s="34" t="inlineStr">
        <is>
          <t>balance_sheet</t>
        </is>
      </c>
    </row>
    <row r="39">
      <c r="A39" s="6" t="str"/>
      <c r="B39" s="6" t="str"/>
      <c r="C39" s="6" t="str"/>
      <c r="D39" s="6" t="inlineStr">
        <is>
          <t>ESI EMPLOYER CONTRIBUTTION E</t>
        </is>
      </c>
      <c r="E39" s="39" t="n">
        <v>4166</v>
      </c>
      <c r="F39" s="6" t="inlineStr">
        <is>
          <t>debit</t>
        </is>
      </c>
      <c r="G39" s="6" t="inlineStr">
        <is>
          <t>balance_sheet</t>
        </is>
      </c>
    </row>
    <row r="40">
      <c r="A40" s="6" t="str"/>
      <c r="B40" s="6" t="str"/>
      <c r="C40" s="6" t="str"/>
      <c r="D40" s="6" t="inlineStr">
        <is>
          <t>Salary Expenses</t>
        </is>
      </c>
      <c r="E40" s="39" t="n">
        <v>263754</v>
      </c>
      <c r="F40" s="6" t="inlineStr">
        <is>
          <t>debit</t>
        </is>
      </c>
      <c r="G40" s="6" t="inlineStr">
        <is>
          <t>balance_sheet</t>
        </is>
      </c>
    </row>
    <row r="41">
      <c r="A41" s="34" t="str"/>
      <c r="B41" s="38" t="inlineStr">
        <is>
          <t>Administrative Expenses</t>
        </is>
      </c>
      <c r="C41" s="34" t="str"/>
      <c r="D41" s="34" t="str"/>
      <c r="E41" s="35" t="n">
        <v>188626.68</v>
      </c>
      <c r="F41" s="34" t="inlineStr">
        <is>
          <t>6 txns</t>
        </is>
      </c>
      <c r="G41" s="34" t="inlineStr">
        <is>
          <t>balance_sheet</t>
        </is>
      </c>
    </row>
    <row r="42">
      <c r="A42" s="6" t="str"/>
      <c r="B42" s="6" t="str"/>
      <c r="C42" s="6" t="str"/>
      <c r="D42" s="6" t="inlineStr">
        <is>
          <t>Office Rent</t>
        </is>
      </c>
      <c r="E42" s="39" t="n">
        <v>134375</v>
      </c>
      <c r="F42" s="6" t="inlineStr">
        <is>
          <t>debit</t>
        </is>
      </c>
      <c r="G42" s="6" t="inlineStr">
        <is>
          <t>balance_sheet</t>
        </is>
      </c>
    </row>
    <row r="43">
      <c r="A43" s="6" t="str"/>
      <c r="B43" s="6" t="str"/>
      <c r="C43" s="6" t="str"/>
      <c r="D43" s="6" t="inlineStr">
        <is>
          <t>Printing &amp; Stationery@%</t>
        </is>
      </c>
      <c r="E43" s="39" t="n">
        <v>2770</v>
      </c>
      <c r="F43" s="6" t="inlineStr">
        <is>
          <t>debit</t>
        </is>
      </c>
      <c r="G43" s="6" t="inlineStr">
        <is>
          <t>balance_sheet</t>
        </is>
      </c>
    </row>
    <row r="44">
      <c r="A44" s="6" t="str"/>
      <c r="B44" s="6" t="str"/>
      <c r="C44" s="6" t="str"/>
      <c r="D44" s="6" t="inlineStr">
        <is>
          <t>PRINTING STATIONERY EXPENSES</t>
        </is>
      </c>
      <c r="E44" s="39" t="n">
        <v>3475</v>
      </c>
      <c r="F44" s="6" t="inlineStr">
        <is>
          <t>debit</t>
        </is>
      </c>
      <c r="G44" s="6" t="inlineStr">
        <is>
          <t>balance_sheet</t>
        </is>
      </c>
    </row>
    <row r="45">
      <c r="A45" s="6" t="str"/>
      <c r="B45" s="6" t="str"/>
      <c r="C45" s="6" t="str"/>
      <c r="D45" s="6" t="inlineStr">
        <is>
          <t>REPAIRE &amp; MAINTENANCE EXPENS</t>
        </is>
      </c>
      <c r="E45" s="39" t="n">
        <v>21245.91</v>
      </c>
      <c r="F45" s="6" t="inlineStr">
        <is>
          <t>debit</t>
        </is>
      </c>
      <c r="G45" s="6" t="inlineStr">
        <is>
          <t>balance_sheet</t>
        </is>
      </c>
    </row>
    <row r="46">
      <c r="A46" s="6" t="str"/>
      <c r="B46" s="6" t="str"/>
      <c r="C46" s="6" t="str"/>
      <c r="D46" s="6" t="inlineStr">
        <is>
          <t>REPAIRE &amp; MAINTENANCE EXPENS</t>
        </is>
      </c>
      <c r="E46" s="39" t="n">
        <v>11050</v>
      </c>
      <c r="F46" s="6" t="inlineStr">
        <is>
          <t>debit</t>
        </is>
      </c>
      <c r="G46" s="6" t="inlineStr">
        <is>
          <t>balance_sheet</t>
        </is>
      </c>
    </row>
    <row r="47">
      <c r="A47" s="6" t="str"/>
      <c r="B47" s="6" t="str"/>
      <c r="C47" s="6" t="str"/>
      <c r="D47" s="6" t="inlineStr">
        <is>
          <t>VEHICAL RUNING MAINTENANCE</t>
        </is>
      </c>
      <c r="E47" s="39" t="n">
        <v>15710.77</v>
      </c>
      <c r="F47" s="6" t="inlineStr">
        <is>
          <t>debit</t>
        </is>
      </c>
      <c r="G47" s="6" t="inlineStr">
        <is>
          <t>balance_sheet</t>
        </is>
      </c>
    </row>
    <row r="48">
      <c r="A48" s="34" t="str"/>
      <c r="B48" s="38" t="inlineStr">
        <is>
          <t>Staff Welfare &amp; Events</t>
        </is>
      </c>
      <c r="C48" s="34" t="str"/>
      <c r="D48" s="34" t="str"/>
      <c r="E48" s="35" t="n">
        <v>45739</v>
      </c>
      <c r="F48" s="34" t="inlineStr">
        <is>
          <t>1 txns</t>
        </is>
      </c>
      <c r="G48" s="34" t="inlineStr">
        <is>
          <t>balance_sheet</t>
        </is>
      </c>
    </row>
    <row r="49">
      <c r="A49" s="6" t="str"/>
      <c r="B49" s="6" t="str"/>
      <c r="C49" s="6" t="str"/>
      <c r="D49" s="6" t="inlineStr">
        <is>
          <t>STAFF WELFARE EXPENSES</t>
        </is>
      </c>
      <c r="E49" s="39" t="n">
        <v>45739</v>
      </c>
      <c r="F49" s="6" t="inlineStr">
        <is>
          <t>debit</t>
        </is>
      </c>
      <c r="G49" s="6" t="inlineStr">
        <is>
          <t>balance_sheet</t>
        </is>
      </c>
    </row>
    <row r="51">
      <c r="A51" s="24" t="inlineStr">
        <is>
          <t>J. Non-Operating</t>
        </is>
      </c>
      <c r="B51" s="24" t="str"/>
      <c r="C51" s="24" t="str"/>
      <c r="D51" s="24" t="str"/>
      <c r="E51" s="37" t="n">
        <v>26474</v>
      </c>
      <c r="F51" s="24" t="inlineStr">
        <is>
          <t>2 txns</t>
        </is>
      </c>
      <c r="G51" s="24" t="str"/>
    </row>
    <row r="52">
      <c r="A52" s="34" t="str"/>
      <c r="B52" s="38" t="inlineStr">
        <is>
          <t>Less: Interest Expense</t>
        </is>
      </c>
      <c r="C52" s="34" t="str"/>
      <c r="D52" s="34" t="str"/>
      <c r="E52" s="35" t="n">
        <v>26474</v>
      </c>
      <c r="F52" s="34" t="inlineStr">
        <is>
          <t>2 txns</t>
        </is>
      </c>
      <c r="G52" s="34" t="inlineStr">
        <is>
          <t>balance_sheet</t>
        </is>
      </c>
    </row>
    <row r="53">
      <c r="A53" s="6" t="str"/>
      <c r="B53" s="6" t="str"/>
      <c r="C53" s="6" t="str"/>
      <c r="D53" s="6" t="inlineStr">
        <is>
          <t>INTEREST ON CAR LOAN EXPENS</t>
        </is>
      </c>
      <c r="E53" s="39" t="n">
        <v>22602</v>
      </c>
      <c r="F53" s="6" t="inlineStr">
        <is>
          <t>debit</t>
        </is>
      </c>
      <c r="G53" s="6" t="inlineStr">
        <is>
          <t>balance_sheet</t>
        </is>
      </c>
    </row>
    <row r="54">
      <c r="A54" s="6" t="str"/>
      <c r="B54" s="6" t="str"/>
      <c r="C54" s="6" t="str"/>
      <c r="D54" s="6" t="inlineStr">
        <is>
          <t>INTEREST ON OD LIMIT</t>
        </is>
      </c>
      <c r="E54" s="39" t="n">
        <v>3872</v>
      </c>
      <c r="F54" s="6" t="inlineStr">
        <is>
          <t>debit</t>
        </is>
      </c>
      <c r="G54" s="6" t="inlineStr">
        <is>
          <t>balance_sheet</t>
        </is>
      </c>
    </row>
  </sheetData>
  <mergeCells count="1">
    <mergeCell ref="A1:G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25.83203125" customWidth="1" style="2" min="1" max="1"/>
    <col width="30.83203125" customWidth="1" style="2" min="2" max="2"/>
    <col width="12.83203125" customWidth="1" style="2" min="3" max="3"/>
    <col width="45.83203125" customWidth="1" style="2" min="4" max="4"/>
    <col width="15.83203125" customWidth="1" style="2" min="5" max="5"/>
    <col width="10.83203125" customWidth="1" style="2" min="6" max="6"/>
    <col width="15.83203125" customWidth="1" style="2" min="7" max="7"/>
  </cols>
  <sheetData>
    <row r="1">
      <c r="A1" s="40" t="inlineStr">
        <is>
          <t>Apr 2024 - TRANSACTION DETAILS</t>
        </is>
      </c>
    </row>
    <row r="3">
      <c r="A3" s="5" t="inlineStr">
        <is>
          <t>Head</t>
        </is>
      </c>
      <c r="B3" s="5" t="inlineStr">
        <is>
          <t>Subhead</t>
        </is>
      </c>
      <c r="C3" s="5" t="inlineStr">
        <is>
          <t>Date</t>
        </is>
      </c>
      <c r="D3" s="5" t="inlineStr">
        <is>
          <t>Account</t>
        </is>
      </c>
      <c r="E3" s="5" t="inlineStr">
        <is>
          <t>Amount (₹)</t>
        </is>
      </c>
      <c r="F3" s="5" t="inlineStr">
        <is>
          <t>Type</t>
        </is>
      </c>
      <c r="G3" s="5" t="inlineStr">
        <is>
          <t>Source</t>
        </is>
      </c>
    </row>
    <row r="4">
      <c r="A4" s="24" t="inlineStr">
        <is>
          <t>E. COGM</t>
        </is>
      </c>
      <c r="B4" s="24" t="str"/>
      <c r="C4" s="24" t="str"/>
      <c r="D4" s="24" t="str"/>
      <c r="E4" s="37" t="n">
        <v>182143</v>
      </c>
      <c r="F4" s="24" t="inlineStr">
        <is>
          <t>5 txns</t>
        </is>
      </c>
      <c r="G4" s="24" t="str"/>
    </row>
    <row r="5">
      <c r="A5" s="34" t="str"/>
      <c r="B5" s="38" t="inlineStr">
        <is>
          <t>Raw Materials &amp; Inventory</t>
        </is>
      </c>
      <c r="C5" s="34" t="str"/>
      <c r="D5" s="34" t="str"/>
      <c r="E5" s="35" t="n">
        <v>271592.24</v>
      </c>
      <c r="F5" s="34" t="inlineStr">
        <is>
          <t>1 txns</t>
        </is>
      </c>
      <c r="G5" s="34" t="inlineStr">
        <is>
          <t>calculated</t>
        </is>
      </c>
    </row>
    <row r="6">
      <c r="A6" s="6" t="str"/>
      <c r="B6" s="6" t="str"/>
      <c r="C6" s="6" t="str"/>
      <c r="D6" s="6" t="inlineStr">
        <is>
          <t>Raw Materials (Prorated by Revenue)</t>
        </is>
      </c>
      <c r="E6" s="39" t="n">
        <v>271592.24</v>
      </c>
      <c r="F6" s="6" t="inlineStr">
        <is>
          <t>debit</t>
        </is>
      </c>
      <c r="G6" s="6" t="inlineStr">
        <is>
          <t>calculated</t>
        </is>
      </c>
    </row>
    <row r="7">
      <c r="A7" s="34" t="str"/>
      <c r="B7" s="38" t="inlineStr">
        <is>
          <t>Consumables</t>
        </is>
      </c>
      <c r="C7" s="34" t="str"/>
      <c r="D7" s="34" t="str"/>
      <c r="E7" s="35" t="n">
        <v>7655</v>
      </c>
      <c r="F7" s="34" t="inlineStr">
        <is>
          <t>1 txns</t>
        </is>
      </c>
      <c r="G7" s="34" t="inlineStr">
        <is>
          <t>balance_sheet</t>
        </is>
      </c>
    </row>
    <row r="8">
      <c r="A8" s="6" t="str"/>
      <c r="B8" s="6" t="str"/>
      <c r="C8" s="6" t="str"/>
      <c r="D8" s="6" t="inlineStr">
        <is>
          <t>CONSUMABLE EXPENSES @%</t>
        </is>
      </c>
      <c r="E8" s="39" t="n">
        <v>7655</v>
      </c>
      <c r="F8" s="6" t="inlineStr">
        <is>
          <t>debit</t>
        </is>
      </c>
      <c r="G8" s="6" t="inlineStr">
        <is>
          <t>balance_sheet</t>
        </is>
      </c>
    </row>
    <row r="9">
      <c r="A9" s="34" t="str"/>
      <c r="B9" s="38" t="inlineStr">
        <is>
          <t>Factory Maintenance</t>
        </is>
      </c>
      <c r="C9" s="34" t="str"/>
      <c r="D9" s="34" t="str"/>
      <c r="E9" s="35" t="n">
        <v>27901</v>
      </c>
      <c r="F9" s="34" t="inlineStr">
        <is>
          <t>2 txns</t>
        </is>
      </c>
      <c r="G9" s="34" t="inlineStr">
        <is>
          <t>balance_sheet</t>
        </is>
      </c>
    </row>
    <row r="10">
      <c r="A10" s="6" t="str"/>
      <c r="B10" s="6" t="str"/>
      <c r="C10" s="6" t="str"/>
      <c r="D10" s="6" t="inlineStr">
        <is>
          <t>Electricity &amp; Water Expenses</t>
        </is>
      </c>
      <c r="E10" s="39" t="n">
        <v>8901</v>
      </c>
      <c r="F10" s="6" t="inlineStr">
        <is>
          <t>debit</t>
        </is>
      </c>
      <c r="G10" s="6" t="inlineStr">
        <is>
          <t>balance_sheet</t>
        </is>
      </c>
    </row>
    <row r="11">
      <c r="A11" s="6" t="str"/>
      <c r="B11" s="6" t="str"/>
      <c r="C11" s="6" t="str"/>
      <c r="D11" s="6" t="inlineStr">
        <is>
          <t>POWER BACKUP &amp; MAITENANCE (D</t>
        </is>
      </c>
      <c r="E11" s="39" t="n">
        <v>19000</v>
      </c>
      <c r="F11" s="6" t="inlineStr">
        <is>
          <t>debit</t>
        </is>
      </c>
      <c r="G11" s="6" t="inlineStr">
        <is>
          <t>balance_sheet</t>
        </is>
      </c>
    </row>
    <row r="12">
      <c r="A12" s="34" t="str"/>
      <c r="B12" s="38" t="inlineStr">
        <is>
          <t>Job work</t>
        </is>
      </c>
      <c r="C12" s="34" t="str"/>
      <c r="D12" s="34" t="str"/>
      <c r="E12" s="35" t="n">
        <v>146587</v>
      </c>
      <c r="F12" s="34" t="inlineStr">
        <is>
          <t>2 txns</t>
        </is>
      </c>
      <c r="G12" s="34" t="inlineStr">
        <is>
          <t>balance_sheet</t>
        </is>
      </c>
    </row>
    <row r="13">
      <c r="A13" s="6" t="str"/>
      <c r="B13" s="6" t="str"/>
      <c r="C13" s="6" t="str"/>
      <c r="D13" s="6" t="inlineStr">
        <is>
          <t>JOB WORK</t>
        </is>
      </c>
      <c r="E13" s="39" t="n">
        <v>24981</v>
      </c>
      <c r="F13" s="6" t="inlineStr">
        <is>
          <t>debit</t>
        </is>
      </c>
      <c r="G13" s="6" t="inlineStr">
        <is>
          <t>balance_sheet</t>
        </is>
      </c>
    </row>
    <row r="14">
      <c r="A14" s="6" t="str"/>
      <c r="B14" s="6" t="str"/>
      <c r="C14" s="6" t="str"/>
      <c r="D14" s="6" t="inlineStr">
        <is>
          <t>JOB WORK @%</t>
        </is>
      </c>
      <c r="E14" s="39" t="n">
        <v>121606</v>
      </c>
      <c r="F14" s="6" t="inlineStr">
        <is>
          <t>debit</t>
        </is>
      </c>
      <c r="G14" s="6" t="inlineStr">
        <is>
          <t>balance_sheet</t>
        </is>
      </c>
    </row>
    <row r="16">
      <c r="A16" s="24" t="inlineStr">
        <is>
          <t>F. Channel &amp; Fulfillment</t>
        </is>
      </c>
      <c r="B16" s="24" t="str"/>
      <c r="C16" s="24" t="str"/>
      <c r="D16" s="24" t="str"/>
      <c r="E16" s="37" t="n">
        <v>8405</v>
      </c>
      <c r="F16" s="24" t="inlineStr">
        <is>
          <t>2 txns</t>
        </is>
      </c>
      <c r="G16" s="24" t="str"/>
    </row>
    <row r="17">
      <c r="A17" s="34" t="str"/>
      <c r="B17" s="38" t="inlineStr">
        <is>
          <t>D2C Fees</t>
        </is>
      </c>
      <c r="C17" s="34" t="str"/>
      <c r="D17" s="34" t="str"/>
      <c r="E17" s="35" t="n">
        <v>8405</v>
      </c>
      <c r="F17" s="34" t="inlineStr">
        <is>
          <t>2 txns</t>
        </is>
      </c>
      <c r="G17" s="34" t="inlineStr">
        <is>
          <t>balance_sheet</t>
        </is>
      </c>
    </row>
    <row r="18">
      <c r="A18" s="6" t="str"/>
      <c r="B18" s="6" t="str"/>
      <c r="C18" s="6" t="str"/>
      <c r="D18" s="6" t="inlineStr">
        <is>
          <t>COURIER &amp; POSTAGE EXPENSE</t>
        </is>
      </c>
      <c r="E18" s="39" t="n">
        <v>1530</v>
      </c>
      <c r="F18" s="6" t="inlineStr">
        <is>
          <t>debit</t>
        </is>
      </c>
      <c r="G18" s="6" t="inlineStr">
        <is>
          <t>balance_sheet</t>
        </is>
      </c>
    </row>
    <row r="19">
      <c r="A19" s="6" t="str"/>
      <c r="B19" s="6" t="str"/>
      <c r="C19" s="6" t="str"/>
      <c r="D19" s="6" t="inlineStr">
        <is>
          <t>FREIGHT CHARGE@%</t>
        </is>
      </c>
      <c r="E19" s="39" t="n">
        <v>6875</v>
      </c>
      <c r="F19" s="6" t="inlineStr">
        <is>
          <t>debit</t>
        </is>
      </c>
      <c r="G19" s="6" t="inlineStr">
        <is>
          <t>balance_sheet</t>
        </is>
      </c>
    </row>
    <row r="21">
      <c r="A21" s="24" t="inlineStr">
        <is>
          <t>G. Sales &amp; Marketing</t>
        </is>
      </c>
      <c r="B21" s="24" t="str"/>
      <c r="C21" s="24" t="str"/>
      <c r="D21" s="24" t="str"/>
      <c r="E21" s="37" t="n">
        <v>340507.7</v>
      </c>
      <c r="F21" s="24" t="inlineStr">
        <is>
          <t>2 txns</t>
        </is>
      </c>
      <c r="G21" s="24" t="str"/>
    </row>
    <row r="22">
      <c r="A22" s="34" t="str"/>
      <c r="B22" s="38" t="inlineStr">
        <is>
          <t>Advertising &amp; Marketing</t>
        </is>
      </c>
      <c r="C22" s="34" t="str"/>
      <c r="D22" s="34" t="str"/>
      <c r="E22" s="35" t="n">
        <v>340507.7</v>
      </c>
      <c r="F22" s="34" t="inlineStr">
        <is>
          <t>2 txns</t>
        </is>
      </c>
      <c r="G22" s="34" t="inlineStr">
        <is>
          <t>balance_sheet</t>
        </is>
      </c>
    </row>
    <row r="23">
      <c r="A23" s="6" t="str"/>
      <c r="B23" s="6" t="str"/>
      <c r="C23" s="6" t="str"/>
      <c r="D23" s="6" t="inlineStr">
        <is>
          <t>Advertisement &amp; Publicity</t>
        </is>
      </c>
      <c r="E23" s="39" t="n">
        <v>136679.24</v>
      </c>
      <c r="F23" s="6" t="inlineStr">
        <is>
          <t>debit</t>
        </is>
      </c>
      <c r="G23" s="6" t="inlineStr">
        <is>
          <t>balance_sheet</t>
        </is>
      </c>
    </row>
    <row r="24">
      <c r="A24" s="6" t="str"/>
      <c r="B24" s="6" t="str"/>
      <c r="C24" s="6" t="str"/>
      <c r="D24" s="6" t="inlineStr">
        <is>
          <t>BUSINESS PROMOTION EXPENSES@</t>
        </is>
      </c>
      <c r="E24" s="39" t="n">
        <v>203828.46</v>
      </c>
      <c r="F24" s="6" t="inlineStr">
        <is>
          <t>debit</t>
        </is>
      </c>
      <c r="G24" s="6" t="inlineStr">
        <is>
          <t>balance_sheet</t>
        </is>
      </c>
    </row>
    <row r="26">
      <c r="A26" s="24" t="inlineStr">
        <is>
          <t>I. Operating Expenses</t>
        </is>
      </c>
      <c r="B26" s="24" t="str"/>
      <c r="C26" s="24" t="str"/>
      <c r="D26" s="24" t="str"/>
      <c r="E26" s="37" t="n">
        <v>667754.99</v>
      </c>
      <c r="F26" s="24" t="inlineStr">
        <is>
          <t>16 txns</t>
        </is>
      </c>
      <c r="G26" s="24" t="str"/>
    </row>
    <row r="27">
      <c r="A27" s="34" t="str"/>
      <c r="B27" s="38" t="inlineStr">
        <is>
          <t>Other Operating Expenses</t>
        </is>
      </c>
      <c r="C27" s="34" t="str"/>
      <c r="D27" s="34" t="str"/>
      <c r="E27" s="35" t="n">
        <v>18261.78</v>
      </c>
      <c r="F27" s="34" t="inlineStr">
        <is>
          <t>4 txns</t>
        </is>
      </c>
      <c r="G27" s="34" t="inlineStr">
        <is>
          <t>balance_sheet</t>
        </is>
      </c>
    </row>
    <row r="28">
      <c r="A28" s="6" t="str"/>
      <c r="B28" s="6" t="str"/>
      <c r="C28" s="6" t="str"/>
      <c r="D28" s="6" t="inlineStr">
        <is>
          <t>CONSUMABLES EXPENSES</t>
        </is>
      </c>
      <c r="E28" s="39" t="n">
        <v>1992</v>
      </c>
      <c r="F28" s="6" t="inlineStr">
        <is>
          <t>debit</t>
        </is>
      </c>
      <c r="G28" s="6" t="inlineStr">
        <is>
          <t>balance_sheet</t>
        </is>
      </c>
    </row>
    <row r="29">
      <c r="A29" s="6" t="str"/>
      <c r="B29" s="6" t="str"/>
      <c r="C29" s="6" t="str"/>
      <c r="D29" s="6" t="inlineStr">
        <is>
          <t>PRIOR PERIOD EXP.</t>
        </is>
      </c>
      <c r="E29" s="39" t="n">
        <v>5568.11</v>
      </c>
      <c r="F29" s="6" t="inlineStr">
        <is>
          <t>debit</t>
        </is>
      </c>
      <c r="G29" s="6" t="inlineStr">
        <is>
          <t>balance_sheet</t>
        </is>
      </c>
    </row>
    <row r="30">
      <c r="A30" s="6" t="str"/>
      <c r="B30" s="6" t="str"/>
      <c r="C30" s="6" t="str"/>
      <c r="D30" s="6" t="inlineStr">
        <is>
          <t>Rounded Off</t>
        </is>
      </c>
      <c r="E30" s="39" t="n">
        <v>1.67</v>
      </c>
      <c r="F30" s="6" t="inlineStr">
        <is>
          <t>debit</t>
        </is>
      </c>
      <c r="G30" s="6" t="inlineStr">
        <is>
          <t>balance_sheet</t>
        </is>
      </c>
    </row>
    <row r="31">
      <c r="A31" s="6" t="str"/>
      <c r="B31" s="6" t="str"/>
      <c r="C31" s="6" t="str"/>
      <c r="D31" s="6" t="inlineStr">
        <is>
          <t>TRANSPOTATION EXPENSES</t>
        </is>
      </c>
      <c r="E31" s="39" t="n">
        <v>10700</v>
      </c>
      <c r="F31" s="6" t="inlineStr">
        <is>
          <t>debit</t>
        </is>
      </c>
      <c r="G31" s="6" t="inlineStr">
        <is>
          <t>balance_sheet</t>
        </is>
      </c>
    </row>
    <row r="32">
      <c r="A32" s="34" t="str"/>
      <c r="B32" s="38" t="inlineStr">
        <is>
          <t>Salaries (Admin Mgmt)</t>
        </is>
      </c>
      <c r="C32" s="34" t="str"/>
      <c r="D32" s="34" t="str"/>
      <c r="E32" s="35" t="n">
        <v>443190</v>
      </c>
      <c r="F32" s="34" t="inlineStr">
        <is>
          <t>2 txns</t>
        </is>
      </c>
      <c r="G32" s="34" t="inlineStr">
        <is>
          <t>balance_sheet</t>
        </is>
      </c>
    </row>
    <row r="33">
      <c r="A33" s="6" t="str"/>
      <c r="B33" s="6" t="str"/>
      <c r="C33" s="6" t="str"/>
      <c r="D33" s="6" t="inlineStr">
        <is>
          <t>ESI EMPLOYER CONTRIBUTTION E</t>
        </is>
      </c>
      <c r="E33" s="39" t="n">
        <v>5681</v>
      </c>
      <c r="F33" s="6" t="inlineStr">
        <is>
          <t>debit</t>
        </is>
      </c>
      <c r="G33" s="6" t="inlineStr">
        <is>
          <t>balance_sheet</t>
        </is>
      </c>
    </row>
    <row r="34">
      <c r="A34" s="6" t="str"/>
      <c r="B34" s="6" t="str"/>
      <c r="C34" s="6" t="str"/>
      <c r="D34" s="6" t="inlineStr">
        <is>
          <t>Salary Expenses</t>
        </is>
      </c>
      <c r="E34" s="39" t="n">
        <v>437509</v>
      </c>
      <c r="F34" s="6" t="inlineStr">
        <is>
          <t>debit</t>
        </is>
      </c>
      <c r="G34" s="6" t="inlineStr">
        <is>
          <t>balance_sheet</t>
        </is>
      </c>
    </row>
    <row r="35">
      <c r="A35" s="34" t="str"/>
      <c r="B35" s="38" t="inlineStr">
        <is>
          <t>Administrative Expenses</t>
        </is>
      </c>
      <c r="C35" s="34" t="str"/>
      <c r="D35" s="34" t="str"/>
      <c r="E35" s="35" t="n">
        <v>159606.21</v>
      </c>
      <c r="F35" s="34" t="inlineStr">
        <is>
          <t>8 txns</t>
        </is>
      </c>
      <c r="G35" s="34" t="inlineStr">
        <is>
          <t>balance_sheet</t>
        </is>
      </c>
    </row>
    <row r="36">
      <c r="A36" s="6" t="str"/>
      <c r="B36" s="6" t="str"/>
      <c r="C36" s="6" t="str"/>
      <c r="D36" s="6" t="inlineStr">
        <is>
          <t>HOUSE KEEPING EXPENSES@%</t>
        </is>
      </c>
      <c r="E36" s="39" t="n">
        <v>180</v>
      </c>
      <c r="F36" s="6" t="inlineStr">
        <is>
          <t>debit</t>
        </is>
      </c>
      <c r="G36" s="6" t="inlineStr">
        <is>
          <t>balance_sheet</t>
        </is>
      </c>
    </row>
    <row r="37">
      <c r="A37" s="6" t="str"/>
      <c r="B37" s="6" t="str"/>
      <c r="C37" s="6" t="str"/>
      <c r="D37" s="6" t="inlineStr">
        <is>
          <t>OFFICE EXPENSES</t>
        </is>
      </c>
      <c r="E37" s="39" t="n">
        <v>680</v>
      </c>
      <c r="F37" s="6" t="inlineStr">
        <is>
          <t>debit</t>
        </is>
      </c>
      <c r="G37" s="6" t="inlineStr">
        <is>
          <t>balance_sheet</t>
        </is>
      </c>
    </row>
    <row r="38">
      <c r="A38" s="6" t="str"/>
      <c r="B38" s="6" t="str"/>
      <c r="C38" s="6" t="str"/>
      <c r="D38" s="6" t="inlineStr">
        <is>
          <t>Office Rent</t>
        </is>
      </c>
      <c r="E38" s="39" t="n">
        <v>134375</v>
      </c>
      <c r="F38" s="6" t="inlineStr">
        <is>
          <t>debit</t>
        </is>
      </c>
      <c r="G38" s="6" t="inlineStr">
        <is>
          <t>balance_sheet</t>
        </is>
      </c>
    </row>
    <row r="39">
      <c r="A39" s="6" t="str"/>
      <c r="B39" s="6" t="str"/>
      <c r="C39" s="6" t="str"/>
      <c r="D39" s="6" t="inlineStr">
        <is>
          <t>Printing &amp; Stationery@%</t>
        </is>
      </c>
      <c r="E39" s="39" t="n">
        <v>2350</v>
      </c>
      <c r="F39" s="6" t="inlineStr">
        <is>
          <t>debit</t>
        </is>
      </c>
      <c r="G39" s="6" t="inlineStr">
        <is>
          <t>balance_sheet</t>
        </is>
      </c>
    </row>
    <row r="40">
      <c r="A40" s="6" t="str"/>
      <c r="B40" s="6" t="str"/>
      <c r="C40" s="6" t="str"/>
      <c r="D40" s="6" t="inlineStr">
        <is>
          <t>PRINTING STATIONERY EXPENSES</t>
        </is>
      </c>
      <c r="E40" s="39" t="n">
        <v>250</v>
      </c>
      <c r="F40" s="6" t="inlineStr">
        <is>
          <t>debit</t>
        </is>
      </c>
      <c r="G40" s="6" t="inlineStr">
        <is>
          <t>balance_sheet</t>
        </is>
      </c>
    </row>
    <row r="41">
      <c r="A41" s="6" t="str"/>
      <c r="B41" s="6" t="str"/>
      <c r="C41" s="6" t="str"/>
      <c r="D41" s="6" t="inlineStr">
        <is>
          <t>REPAIRE &amp; MAINTENANCE EXPENS</t>
        </is>
      </c>
      <c r="E41" s="39" t="n">
        <v>8630.98</v>
      </c>
      <c r="F41" s="6" t="inlineStr">
        <is>
          <t>debit</t>
        </is>
      </c>
      <c r="G41" s="6" t="inlineStr">
        <is>
          <t>balance_sheet</t>
        </is>
      </c>
    </row>
    <row r="42">
      <c r="A42" s="6" t="str"/>
      <c r="B42" s="6" t="str"/>
      <c r="C42" s="6" t="str"/>
      <c r="D42" s="6" t="inlineStr">
        <is>
          <t>REPAIRE &amp; MAINTENANCE EXPENS</t>
        </is>
      </c>
      <c r="E42" s="39" t="n">
        <v>5002.49</v>
      </c>
      <c r="F42" s="6" t="inlineStr">
        <is>
          <t>debit</t>
        </is>
      </c>
      <c r="G42" s="6" t="inlineStr">
        <is>
          <t>balance_sheet</t>
        </is>
      </c>
    </row>
    <row r="43">
      <c r="A43" s="6" t="str"/>
      <c r="B43" s="6" t="str"/>
      <c r="C43" s="6" t="str"/>
      <c r="D43" s="6" t="inlineStr">
        <is>
          <t>VEHICAL RUNING MAINTENANCE</t>
        </is>
      </c>
      <c r="E43" s="39" t="n">
        <v>8137.74</v>
      </c>
      <c r="F43" s="6" t="inlineStr">
        <is>
          <t>debit</t>
        </is>
      </c>
      <c r="G43" s="6" t="inlineStr">
        <is>
          <t>balance_sheet</t>
        </is>
      </c>
    </row>
    <row r="44">
      <c r="A44" s="34" t="str"/>
      <c r="B44" s="38" t="inlineStr">
        <is>
          <t>Legal &amp; CA expenses</t>
        </is>
      </c>
      <c r="C44" s="34" t="str"/>
      <c r="D44" s="34" t="str"/>
      <c r="E44" s="35" t="n">
        <v>39500</v>
      </c>
      <c r="F44" s="34" t="inlineStr">
        <is>
          <t>1 txns</t>
        </is>
      </c>
      <c r="G44" s="34" t="inlineStr">
        <is>
          <t>balance_sheet</t>
        </is>
      </c>
    </row>
    <row r="45">
      <c r="A45" s="6" t="str"/>
      <c r="B45" s="6" t="str"/>
      <c r="C45" s="6" t="str"/>
      <c r="D45" s="6" t="inlineStr">
        <is>
          <t>LEGAL &amp; PROFESSIONAL EXPENS</t>
        </is>
      </c>
      <c r="E45" s="39" t="n">
        <v>39500</v>
      </c>
      <c r="F45" s="6" t="inlineStr">
        <is>
          <t>debit</t>
        </is>
      </c>
      <c r="G45" s="6" t="inlineStr">
        <is>
          <t>balance_sheet</t>
        </is>
      </c>
    </row>
    <row r="46">
      <c r="A46" s="34" t="str"/>
      <c r="B46" s="38" t="inlineStr">
        <is>
          <t>Staff Welfare &amp; Events</t>
        </is>
      </c>
      <c r="C46" s="34" t="str"/>
      <c r="D46" s="34" t="str"/>
      <c r="E46" s="35" t="n">
        <v>7197</v>
      </c>
      <c r="F46" s="34" t="inlineStr">
        <is>
          <t>1 txns</t>
        </is>
      </c>
      <c r="G46" s="34" t="inlineStr">
        <is>
          <t>balance_sheet</t>
        </is>
      </c>
    </row>
    <row r="47">
      <c r="A47" s="6" t="str"/>
      <c r="B47" s="6" t="str"/>
      <c r="C47" s="6" t="str"/>
      <c r="D47" s="6" t="inlineStr">
        <is>
          <t>STAFF WELFARE EXPENSES</t>
        </is>
      </c>
      <c r="E47" s="39" t="n">
        <v>7197</v>
      </c>
      <c r="F47" s="6" t="inlineStr">
        <is>
          <t>debit</t>
        </is>
      </c>
      <c r="G47" s="6" t="inlineStr">
        <is>
          <t>balance_sheet</t>
        </is>
      </c>
    </row>
    <row r="49">
      <c r="A49" s="24" t="inlineStr">
        <is>
          <t>J. Non-Operating</t>
        </is>
      </c>
      <c r="B49" s="24" t="str"/>
      <c r="C49" s="24" t="str"/>
      <c r="D49" s="24" t="str"/>
      <c r="E49" s="37" t="n">
        <v>22835</v>
      </c>
      <c r="F49" s="24" t="inlineStr">
        <is>
          <t>1 txns</t>
        </is>
      </c>
      <c r="G49" s="24" t="str"/>
    </row>
    <row r="50">
      <c r="A50" s="34" t="str"/>
      <c r="B50" s="38" t="inlineStr">
        <is>
          <t>Less: Interest Expense</t>
        </is>
      </c>
      <c r="C50" s="34" t="str"/>
      <c r="D50" s="34" t="str"/>
      <c r="E50" s="35" t="n">
        <v>22835</v>
      </c>
      <c r="F50" s="34" t="inlineStr">
        <is>
          <t>1 txns</t>
        </is>
      </c>
      <c r="G50" s="34" t="inlineStr">
        <is>
          <t>balance_sheet</t>
        </is>
      </c>
    </row>
    <row r="51">
      <c r="A51" s="6" t="str"/>
      <c r="B51" s="6" t="str"/>
      <c r="C51" s="6" t="str"/>
      <c r="D51" s="6" t="inlineStr">
        <is>
          <t>INTEREST ON CAR LOAN EXPENS</t>
        </is>
      </c>
      <c r="E51" s="39" t="n">
        <v>22835</v>
      </c>
      <c r="F51" s="6" t="inlineStr">
        <is>
          <t>debit</t>
        </is>
      </c>
      <c r="G51" s="6" t="inlineStr">
        <is>
          <t>balance_sheet</t>
        </is>
      </c>
    </row>
  </sheetData>
  <mergeCells count="1">
    <mergeCell ref="A1:G1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25.83203125" customWidth="1" style="2" min="1" max="1"/>
    <col width="30.83203125" customWidth="1" style="2" min="2" max="2"/>
    <col width="12.83203125" customWidth="1" style="2" min="3" max="3"/>
    <col width="45.83203125" customWidth="1" style="2" min="4" max="4"/>
    <col width="15.83203125" customWidth="1" style="2" min="5" max="5"/>
    <col width="10.83203125" customWidth="1" style="2" min="6" max="6"/>
    <col width="15.83203125" customWidth="1" style="2" min="7" max="7"/>
  </cols>
  <sheetData>
    <row r="1">
      <c r="A1" s="40" t="inlineStr">
        <is>
          <t>Mar 2024 - TRANSACTION DETAILS</t>
        </is>
      </c>
    </row>
    <row r="3">
      <c r="A3" s="5" t="inlineStr">
        <is>
          <t>Head</t>
        </is>
      </c>
      <c r="B3" s="5" t="inlineStr">
        <is>
          <t>Subhead</t>
        </is>
      </c>
      <c r="C3" s="5" t="inlineStr">
        <is>
          <t>Date</t>
        </is>
      </c>
      <c r="D3" s="5" t="inlineStr">
        <is>
          <t>Account</t>
        </is>
      </c>
      <c r="E3" s="5" t="inlineStr">
        <is>
          <t>Amount (₹)</t>
        </is>
      </c>
      <c r="F3" s="5" t="inlineStr">
        <is>
          <t>Type</t>
        </is>
      </c>
      <c r="G3" s="5" t="inlineStr">
        <is>
          <t>Source</t>
        </is>
      </c>
    </row>
    <row r="4">
      <c r="A4" s="24" t="inlineStr">
        <is>
          <t>E. COGM</t>
        </is>
      </c>
      <c r="B4" s="24" t="str"/>
      <c r="C4" s="24" t="str"/>
      <c r="D4" s="24" t="str"/>
      <c r="E4" s="37" t="n">
        <v>470399.2</v>
      </c>
      <c r="F4" s="24" t="inlineStr">
        <is>
          <t>8 txns</t>
        </is>
      </c>
      <c r="G4" s="24" t="str"/>
    </row>
    <row r="5">
      <c r="A5" s="34" t="str"/>
      <c r="B5" s="38" t="inlineStr">
        <is>
          <t>Raw Materials &amp; Inventory</t>
        </is>
      </c>
      <c r="C5" s="34" t="str"/>
      <c r="D5" s="34" t="str"/>
      <c r="E5" s="35" t="n">
        <v>884759.65</v>
      </c>
      <c r="F5" s="34" t="inlineStr">
        <is>
          <t>1 txns</t>
        </is>
      </c>
      <c r="G5" s="34" t="inlineStr">
        <is>
          <t>calculated</t>
        </is>
      </c>
    </row>
    <row r="6">
      <c r="A6" s="6" t="str"/>
      <c r="B6" s="6" t="str"/>
      <c r="C6" s="6" t="str"/>
      <c r="D6" s="6" t="inlineStr">
        <is>
          <t>Raw Materials (Prorated by Revenue)</t>
        </is>
      </c>
      <c r="E6" s="39" t="n">
        <v>884759.65</v>
      </c>
      <c r="F6" s="6" t="inlineStr">
        <is>
          <t>debit</t>
        </is>
      </c>
      <c r="G6" s="6" t="inlineStr">
        <is>
          <t>calculated</t>
        </is>
      </c>
    </row>
    <row r="7">
      <c r="A7" s="34" t="str"/>
      <c r="B7" s="38" t="inlineStr">
        <is>
          <t>Consumables</t>
        </is>
      </c>
      <c r="C7" s="34" t="str"/>
      <c r="D7" s="34" t="str"/>
      <c r="E7" s="35" t="n">
        <v>2425.2</v>
      </c>
      <c r="F7" s="34" t="inlineStr">
        <is>
          <t>1 txns</t>
        </is>
      </c>
      <c r="G7" s="34" t="inlineStr">
        <is>
          <t>balance_sheet</t>
        </is>
      </c>
    </row>
    <row r="8">
      <c r="A8" s="6" t="str"/>
      <c r="B8" s="6" t="str"/>
      <c r="C8" s="6" t="str"/>
      <c r="D8" s="6" t="inlineStr">
        <is>
          <t>CONSUMABLE EXPENSES @%</t>
        </is>
      </c>
      <c r="E8" s="39" t="n">
        <v>2425.2</v>
      </c>
      <c r="F8" s="6" t="inlineStr">
        <is>
          <t>debit</t>
        </is>
      </c>
      <c r="G8" s="6" t="inlineStr">
        <is>
          <t>balance_sheet</t>
        </is>
      </c>
    </row>
    <row r="9">
      <c r="A9" s="34" t="str"/>
      <c r="B9" s="38" t="inlineStr">
        <is>
          <t>Factory Maintenance</t>
        </is>
      </c>
      <c r="C9" s="34" t="str"/>
      <c r="D9" s="34" t="str"/>
      <c r="E9" s="35" t="n">
        <v>27454</v>
      </c>
      <c r="F9" s="34" t="inlineStr">
        <is>
          <t>2 txns</t>
        </is>
      </c>
      <c r="G9" s="34" t="inlineStr">
        <is>
          <t>balance_sheet</t>
        </is>
      </c>
    </row>
    <row r="10">
      <c r="A10" s="6" t="str"/>
      <c r="B10" s="6" t="str"/>
      <c r="C10" s="6" t="str"/>
      <c r="D10" s="6" t="inlineStr">
        <is>
          <t>Electricity &amp; Water Expenses</t>
        </is>
      </c>
      <c r="E10" s="39" t="n">
        <v>8454</v>
      </c>
      <c r="F10" s="6" t="inlineStr">
        <is>
          <t>debit</t>
        </is>
      </c>
      <c r="G10" s="6" t="inlineStr">
        <is>
          <t>balance_sheet</t>
        </is>
      </c>
    </row>
    <row r="11">
      <c r="A11" s="6" t="str"/>
      <c r="B11" s="6" t="str"/>
      <c r="C11" s="6" t="str"/>
      <c r="D11" s="6" t="inlineStr">
        <is>
          <t>POWER BACKUP &amp; MAITENANCE (D</t>
        </is>
      </c>
      <c r="E11" s="39" t="n">
        <v>19000</v>
      </c>
      <c r="F11" s="6" t="inlineStr">
        <is>
          <t>debit</t>
        </is>
      </c>
      <c r="G11" s="6" t="inlineStr">
        <is>
          <t>balance_sheet</t>
        </is>
      </c>
    </row>
    <row r="12">
      <c r="A12" s="34" t="str"/>
      <c r="B12" s="38" t="inlineStr">
        <is>
          <t>Inbound Transport</t>
        </is>
      </c>
      <c r="C12" s="34" t="str"/>
      <c r="D12" s="34" t="str"/>
      <c r="E12" s="35" t="n">
        <v>5100</v>
      </c>
      <c r="F12" s="34" t="inlineStr">
        <is>
          <t>2 txns</t>
        </is>
      </c>
      <c r="G12" s="34" t="inlineStr">
        <is>
          <t>balance_sheet</t>
        </is>
      </c>
    </row>
    <row r="13">
      <c r="A13" s="6" t="str"/>
      <c r="B13" s="6" t="str"/>
      <c r="C13" s="6" t="str"/>
      <c r="D13" s="6" t="inlineStr">
        <is>
          <t>FREIGHT CHARES @%</t>
        </is>
      </c>
      <c r="E13" s="39" t="n">
        <v>200</v>
      </c>
      <c r="F13" s="6" t="inlineStr">
        <is>
          <t>debit</t>
        </is>
      </c>
      <c r="G13" s="6" t="inlineStr">
        <is>
          <t>balance_sheet</t>
        </is>
      </c>
    </row>
    <row r="14">
      <c r="A14" s="6" t="str"/>
      <c r="B14" s="6" t="str"/>
      <c r="C14" s="6" t="str"/>
      <c r="D14" s="6" t="inlineStr">
        <is>
          <t>FREIGHT CHARGES@%</t>
        </is>
      </c>
      <c r="E14" s="39" t="n">
        <v>4900</v>
      </c>
      <c r="F14" s="6" t="inlineStr">
        <is>
          <t>debit</t>
        </is>
      </c>
      <c r="G14" s="6" t="inlineStr">
        <is>
          <t>balance_sheet</t>
        </is>
      </c>
    </row>
    <row r="15">
      <c r="A15" s="34" t="str"/>
      <c r="B15" s="38" t="inlineStr">
        <is>
          <t>Job work</t>
        </is>
      </c>
      <c r="C15" s="34" t="str"/>
      <c r="D15" s="34" t="str"/>
      <c r="E15" s="35" t="n">
        <v>290420</v>
      </c>
      <c r="F15" s="34" t="inlineStr">
        <is>
          <t>2 txns</t>
        </is>
      </c>
      <c r="G15" s="34" t="inlineStr">
        <is>
          <t>balance_sheet</t>
        </is>
      </c>
    </row>
    <row r="16">
      <c r="A16" s="6" t="str"/>
      <c r="B16" s="6" t="str"/>
      <c r="C16" s="6" t="str"/>
      <c r="D16" s="6" t="inlineStr">
        <is>
          <t>JOB WORK</t>
        </is>
      </c>
      <c r="E16" s="39" t="n">
        <v>18340</v>
      </c>
      <c r="F16" s="6" t="inlineStr">
        <is>
          <t>debit</t>
        </is>
      </c>
      <c r="G16" s="6" t="inlineStr">
        <is>
          <t>balance_sheet</t>
        </is>
      </c>
    </row>
    <row r="17">
      <c r="A17" s="6" t="str"/>
      <c r="B17" s="6" t="str"/>
      <c r="C17" s="6" t="str"/>
      <c r="D17" s="6" t="inlineStr">
        <is>
          <t>JOB WORK @%</t>
        </is>
      </c>
      <c r="E17" s="39" t="n">
        <v>272080</v>
      </c>
      <c r="F17" s="6" t="inlineStr">
        <is>
          <t>debit</t>
        </is>
      </c>
      <c r="G17" s="6" t="inlineStr">
        <is>
          <t>balance_sheet</t>
        </is>
      </c>
    </row>
    <row r="18">
      <c r="A18" s="34" t="str"/>
      <c r="B18" s="38" t="inlineStr">
        <is>
          <t>Manufacturing Wages</t>
        </is>
      </c>
      <c r="C18" s="34" t="str"/>
      <c r="D18" s="34" t="str"/>
      <c r="E18" s="35" t="n">
        <v>145000</v>
      </c>
      <c r="F18" s="34" t="inlineStr">
        <is>
          <t>1 txns</t>
        </is>
      </c>
      <c r="G18" s="34" t="inlineStr">
        <is>
          <t>balance_sheet</t>
        </is>
      </c>
    </row>
    <row r="19">
      <c r="A19" s="6" t="str"/>
      <c r="B19" s="6" t="str"/>
      <c r="C19" s="6" t="str"/>
      <c r="D19" s="6" t="inlineStr">
        <is>
          <t>LABOUR &amp; WAGES EXPENSES</t>
        </is>
      </c>
      <c r="E19" s="39" t="n">
        <v>145000</v>
      </c>
      <c r="F19" s="6" t="inlineStr">
        <is>
          <t>debit</t>
        </is>
      </c>
      <c r="G19" s="6" t="inlineStr">
        <is>
          <t>balance_sheet</t>
        </is>
      </c>
    </row>
    <row r="21">
      <c r="A21" s="24" t="inlineStr">
        <is>
          <t>F. Channel &amp; Fulfillment</t>
        </is>
      </c>
      <c r="B21" s="24" t="str"/>
      <c r="C21" s="24" t="str"/>
      <c r="D21" s="24" t="str"/>
      <c r="E21" s="37" t="n">
        <v>865</v>
      </c>
      <c r="F21" s="24" t="inlineStr">
        <is>
          <t>2 txns</t>
        </is>
      </c>
      <c r="G21" s="24" t="str"/>
    </row>
    <row r="22">
      <c r="A22" s="34" t="str"/>
      <c r="B22" s="38" t="inlineStr">
        <is>
          <t>D2C Fees</t>
        </is>
      </c>
      <c r="C22" s="34" t="str"/>
      <c r="D22" s="34" t="str"/>
      <c r="E22" s="35" t="n">
        <v>865</v>
      </c>
      <c r="F22" s="34" t="inlineStr">
        <is>
          <t>2 txns</t>
        </is>
      </c>
      <c r="G22" s="34" t="inlineStr">
        <is>
          <t>balance_sheet</t>
        </is>
      </c>
    </row>
    <row r="23">
      <c r="A23" s="6" t="str"/>
      <c r="B23" s="6" t="str"/>
      <c r="C23" s="6" t="str"/>
      <c r="D23" s="6" t="inlineStr">
        <is>
          <t>COURIER &amp; POSTAGE EXPENSE</t>
        </is>
      </c>
      <c r="E23" s="39" t="n">
        <v>690</v>
      </c>
      <c r="F23" s="6" t="inlineStr">
        <is>
          <t>debit</t>
        </is>
      </c>
      <c r="G23" s="6" t="inlineStr">
        <is>
          <t>balance_sheet</t>
        </is>
      </c>
    </row>
    <row r="24">
      <c r="A24" s="6" t="str"/>
      <c r="B24" s="6" t="str"/>
      <c r="C24" s="6" t="str"/>
      <c r="D24" s="6" t="inlineStr">
        <is>
          <t>FREIGHT CHARGE@%</t>
        </is>
      </c>
      <c r="E24" s="39" t="n">
        <v>175</v>
      </c>
      <c r="F24" s="6" t="inlineStr">
        <is>
          <t>debit</t>
        </is>
      </c>
      <c r="G24" s="6" t="inlineStr">
        <is>
          <t>balance_sheet</t>
        </is>
      </c>
    </row>
    <row r="26">
      <c r="A26" s="24" t="inlineStr">
        <is>
          <t>G. Sales &amp; Marketing</t>
        </is>
      </c>
      <c r="B26" s="24" t="str"/>
      <c r="C26" s="24" t="str"/>
      <c r="D26" s="24" t="str"/>
      <c r="E26" s="37" t="n">
        <v>283513.35</v>
      </c>
      <c r="F26" s="24" t="inlineStr">
        <is>
          <t>2 txns</t>
        </is>
      </c>
      <c r="G26" s="24" t="str"/>
    </row>
    <row r="27">
      <c r="A27" s="34" t="str"/>
      <c r="B27" s="38" t="inlineStr">
        <is>
          <t>Advertising &amp; Marketing</t>
        </is>
      </c>
      <c r="C27" s="34" t="str"/>
      <c r="D27" s="34" t="str"/>
      <c r="E27" s="35" t="n">
        <v>283513.35</v>
      </c>
      <c r="F27" s="34" t="inlineStr">
        <is>
          <t>2 txns</t>
        </is>
      </c>
      <c r="G27" s="34" t="inlineStr">
        <is>
          <t>balance_sheet</t>
        </is>
      </c>
    </row>
    <row r="28">
      <c r="A28" s="6" t="str"/>
      <c r="B28" s="6" t="str"/>
      <c r="C28" s="6" t="str"/>
      <c r="D28" s="6" t="inlineStr">
        <is>
          <t>Advertisement &amp; Publicity</t>
        </is>
      </c>
      <c r="E28" s="39" t="n">
        <v>199660.63</v>
      </c>
      <c r="F28" s="6" t="inlineStr">
        <is>
          <t>debit</t>
        </is>
      </c>
      <c r="G28" s="6" t="inlineStr">
        <is>
          <t>balance_sheet</t>
        </is>
      </c>
    </row>
    <row r="29">
      <c r="A29" s="6" t="str"/>
      <c r="B29" s="6" t="str"/>
      <c r="C29" s="6" t="str"/>
      <c r="D29" s="6" t="inlineStr">
        <is>
          <t>BUSINESS PROMOTION EXPENSES@</t>
        </is>
      </c>
      <c r="E29" s="39" t="n">
        <v>83852.72</v>
      </c>
      <c r="F29" s="6" t="inlineStr">
        <is>
          <t>debit</t>
        </is>
      </c>
      <c r="G29" s="6" t="inlineStr">
        <is>
          <t>balance_sheet</t>
        </is>
      </c>
    </row>
    <row r="31">
      <c r="A31" s="24" t="inlineStr">
        <is>
          <t>I. Operating Expenses</t>
        </is>
      </c>
      <c r="B31" s="24" t="str"/>
      <c r="C31" s="24" t="str"/>
      <c r="D31" s="24" t="str"/>
      <c r="E31" s="37" t="n">
        <v>489798.61</v>
      </c>
      <c r="F31" s="24" t="inlineStr">
        <is>
          <t>22 txns</t>
        </is>
      </c>
      <c r="G31" s="24" t="str"/>
    </row>
    <row r="32">
      <c r="A32" s="34" t="str"/>
      <c r="B32" s="38" t="inlineStr">
        <is>
          <t>Legal &amp; CA expenses</t>
        </is>
      </c>
      <c r="C32" s="34" t="str"/>
      <c r="D32" s="34" t="str"/>
      <c r="E32" s="35" t="n">
        <v>126412</v>
      </c>
      <c r="F32" s="34" t="inlineStr">
        <is>
          <t>3 txns</t>
        </is>
      </c>
      <c r="G32" s="34" t="inlineStr">
        <is>
          <t>balance_sheet</t>
        </is>
      </c>
    </row>
    <row r="33">
      <c r="A33" s="6" t="str"/>
      <c r="B33" s="6" t="str"/>
      <c r="C33" s="6" t="str"/>
      <c r="D33" s="6" t="inlineStr">
        <is>
          <t>ACCOUNTING &amp; RETURN FILLING</t>
        </is>
      </c>
      <c r="E33" s="39" t="n">
        <v>7500</v>
      </c>
      <c r="F33" s="6" t="inlineStr">
        <is>
          <t>debit</t>
        </is>
      </c>
      <c r="G33" s="6" t="inlineStr">
        <is>
          <t>balance_sheet</t>
        </is>
      </c>
    </row>
    <row r="34">
      <c r="A34" s="6" t="str"/>
      <c r="B34" s="6" t="str"/>
      <c r="C34" s="6" t="str"/>
      <c r="D34" s="6" t="inlineStr">
        <is>
          <t>ACCOUNTING CHARGE &amp; FEE</t>
        </is>
      </c>
      <c r="E34" s="39" t="n">
        <v>10000</v>
      </c>
      <c r="F34" s="6" t="inlineStr">
        <is>
          <t>debit</t>
        </is>
      </c>
      <c r="G34" s="6" t="inlineStr">
        <is>
          <t>balance_sheet</t>
        </is>
      </c>
    </row>
    <row r="35">
      <c r="A35" s="6" t="str"/>
      <c r="B35" s="6" t="str"/>
      <c r="C35" s="6" t="str"/>
      <c r="D35" s="6" t="inlineStr">
        <is>
          <t>GST EXPENSES</t>
        </is>
      </c>
      <c r="E35" s="39" t="n">
        <v>108912</v>
      </c>
      <c r="F35" s="6" t="inlineStr">
        <is>
          <t>debit</t>
        </is>
      </c>
      <c r="G35" s="6" t="inlineStr">
        <is>
          <t>balance_sheet</t>
        </is>
      </c>
    </row>
    <row r="36">
      <c r="A36" s="34" t="str"/>
      <c r="B36" s="38" t="inlineStr">
        <is>
          <t>Other Operating Expenses</t>
        </is>
      </c>
      <c r="C36" s="34" t="str"/>
      <c r="D36" s="34" t="str"/>
      <c r="E36" s="35" t="n">
        <v>32786.99</v>
      </c>
      <c r="F36" s="34" t="inlineStr">
        <is>
          <t>3 txns</t>
        </is>
      </c>
      <c r="G36" s="34" t="inlineStr">
        <is>
          <t>balance_sheet</t>
        </is>
      </c>
    </row>
    <row r="37">
      <c r="A37" s="6" t="str"/>
      <c r="B37" s="6" t="str"/>
      <c r="C37" s="6" t="str"/>
      <c r="D37" s="6" t="inlineStr">
        <is>
          <t>CONSUMABLES EXPENSES</t>
        </is>
      </c>
      <c r="E37" s="39" t="n">
        <v>1999</v>
      </c>
      <c r="F37" s="6" t="inlineStr">
        <is>
          <t>debit</t>
        </is>
      </c>
      <c r="G37" s="6" t="inlineStr">
        <is>
          <t>balance_sheet</t>
        </is>
      </c>
    </row>
    <row r="38">
      <c r="A38" s="6" t="str"/>
      <c r="B38" s="6" t="str"/>
      <c r="C38" s="6" t="str"/>
      <c r="D38" s="6" t="inlineStr">
        <is>
          <t>Rounded Off</t>
        </is>
      </c>
      <c r="E38" s="39" t="n">
        <v>126.99</v>
      </c>
      <c r="F38" s="6" t="inlineStr">
        <is>
          <t>debit</t>
        </is>
      </c>
      <c r="G38" s="6" t="inlineStr">
        <is>
          <t>balance_sheet</t>
        </is>
      </c>
    </row>
    <row r="39">
      <c r="A39" s="6" t="str"/>
      <c r="B39" s="6" t="str"/>
      <c r="C39" s="6" t="str"/>
      <c r="D39" s="6" t="inlineStr">
        <is>
          <t>TRANSPOTATION EXPENSES</t>
        </is>
      </c>
      <c r="E39" s="39" t="n">
        <v>30661</v>
      </c>
      <c r="F39" s="6" t="inlineStr">
        <is>
          <t>debit</t>
        </is>
      </c>
      <c r="G39" s="6" t="inlineStr">
        <is>
          <t>balance_sheet</t>
        </is>
      </c>
    </row>
    <row r="40">
      <c r="A40" s="34" t="str"/>
      <c r="B40" s="38" t="inlineStr">
        <is>
          <t>Miscellaneous (Travel, insurance)</t>
        </is>
      </c>
      <c r="C40" s="34" t="str"/>
      <c r="D40" s="34" t="str"/>
      <c r="E40" s="35" t="n">
        <v>15100</v>
      </c>
      <c r="F40" s="34" t="inlineStr">
        <is>
          <t>3 txns</t>
        </is>
      </c>
      <c r="G40" s="34" t="inlineStr">
        <is>
          <t>balance_sheet</t>
        </is>
      </c>
    </row>
    <row r="41">
      <c r="A41" s="6" t="str"/>
      <c r="B41" s="6" t="str"/>
      <c r="C41" s="6" t="str"/>
      <c r="D41" s="6" t="inlineStr">
        <is>
          <t>CONVEYANCE &amp; AUTO CHARGE</t>
        </is>
      </c>
      <c r="E41" s="39" t="n">
        <v>5860</v>
      </c>
      <c r="F41" s="6" t="inlineStr">
        <is>
          <t>debit</t>
        </is>
      </c>
      <c r="G41" s="6" t="inlineStr">
        <is>
          <t>balance_sheet</t>
        </is>
      </c>
    </row>
    <row r="42">
      <c r="A42" s="6" t="str"/>
      <c r="B42" s="6" t="str"/>
      <c r="C42" s="6" t="str"/>
      <c r="D42" s="6" t="inlineStr">
        <is>
          <t>Conveyance Expenses</t>
        </is>
      </c>
      <c r="E42" s="39" t="n">
        <v>7540</v>
      </c>
      <c r="F42" s="6" t="inlineStr">
        <is>
          <t>debit</t>
        </is>
      </c>
      <c r="G42" s="6" t="inlineStr">
        <is>
          <t>balance_sheet</t>
        </is>
      </c>
    </row>
    <row r="43">
      <c r="A43" s="6" t="str"/>
      <c r="B43" s="6" t="str"/>
      <c r="C43" s="6" t="str"/>
      <c r="D43" s="6" t="inlineStr">
        <is>
          <t>HOTEL EXPENSES</t>
        </is>
      </c>
      <c r="E43" s="39" t="n">
        <v>1700</v>
      </c>
      <c r="F43" s="6" t="inlineStr">
        <is>
          <t>debit</t>
        </is>
      </c>
      <c r="G43" s="6" t="inlineStr">
        <is>
          <t>balance_sheet</t>
        </is>
      </c>
    </row>
    <row r="44">
      <c r="A44" s="34" t="str"/>
      <c r="B44" s="38" t="inlineStr">
        <is>
          <t>Salaries (Admin Mgmt)</t>
        </is>
      </c>
      <c r="C44" s="34" t="str"/>
      <c r="D44" s="34" t="str"/>
      <c r="E44" s="35" t="n">
        <v>64827</v>
      </c>
      <c r="F44" s="34" t="inlineStr">
        <is>
          <t>3 txns</t>
        </is>
      </c>
      <c r="G44" s="34" t="inlineStr">
        <is>
          <t>balance_sheet</t>
        </is>
      </c>
    </row>
    <row r="45">
      <c r="A45" s="6" t="str"/>
      <c r="B45" s="6" t="str"/>
      <c r="C45" s="6" t="str"/>
      <c r="D45" s="6" t="inlineStr">
        <is>
          <t>DRIVER ( SALARY EXPENSE)</t>
        </is>
      </c>
      <c r="E45" s="39" t="n">
        <v>20000</v>
      </c>
      <c r="F45" s="6" t="inlineStr">
        <is>
          <t>debit</t>
        </is>
      </c>
      <c r="G45" s="6" t="inlineStr">
        <is>
          <t>balance_sheet</t>
        </is>
      </c>
    </row>
    <row r="46">
      <c r="A46" s="6" t="str"/>
      <c r="B46" s="6" t="str"/>
      <c r="C46" s="6" t="str"/>
      <c r="D46" s="6" t="inlineStr">
        <is>
          <t>ESI EMPLOYER CONTRIBUTTION E</t>
        </is>
      </c>
      <c r="E46" s="39" t="n">
        <v>6827</v>
      </c>
      <c r="F46" s="6" t="inlineStr">
        <is>
          <t>debit</t>
        </is>
      </c>
      <c r="G46" s="6" t="inlineStr">
        <is>
          <t>balance_sheet</t>
        </is>
      </c>
    </row>
    <row r="47">
      <c r="A47" s="6" t="str"/>
      <c r="B47" s="6" t="str"/>
      <c r="C47" s="6" t="str"/>
      <c r="D47" s="6" t="inlineStr">
        <is>
          <t>Salary Expenses</t>
        </is>
      </c>
      <c r="E47" s="39" t="n">
        <v>38000</v>
      </c>
      <c r="F47" s="6" t="inlineStr">
        <is>
          <t>debit</t>
        </is>
      </c>
      <c r="G47" s="6" t="inlineStr">
        <is>
          <t>balance_sheet</t>
        </is>
      </c>
    </row>
    <row r="48">
      <c r="A48" s="34" t="str"/>
      <c r="B48" s="38" t="inlineStr">
        <is>
          <t>Administrative Expenses</t>
        </is>
      </c>
      <c r="C48" s="34" t="str"/>
      <c r="D48" s="34" t="str"/>
      <c r="E48" s="35" t="n">
        <v>157801.35</v>
      </c>
      <c r="F48" s="34" t="inlineStr">
        <is>
          <t>7 txns</t>
        </is>
      </c>
      <c r="G48" s="34" t="inlineStr">
        <is>
          <t>balance_sheet</t>
        </is>
      </c>
    </row>
    <row r="49">
      <c r="A49" s="6" t="str"/>
      <c r="B49" s="6" t="str"/>
      <c r="C49" s="6" t="str"/>
      <c r="D49" s="6" t="inlineStr">
        <is>
          <t>HOUSE KEEPING EXPENSES@%</t>
        </is>
      </c>
      <c r="E49" s="39" t="n">
        <v>1966</v>
      </c>
      <c r="F49" s="6" t="inlineStr">
        <is>
          <t>debit</t>
        </is>
      </c>
      <c r="G49" s="6" t="inlineStr">
        <is>
          <t>balance_sheet</t>
        </is>
      </c>
    </row>
    <row r="50">
      <c r="A50" s="6" t="str"/>
      <c r="B50" s="6" t="str"/>
      <c r="C50" s="6" t="str"/>
      <c r="D50" s="6" t="inlineStr">
        <is>
          <t>Office Rent</t>
        </is>
      </c>
      <c r="E50" s="39" t="n">
        <v>134375</v>
      </c>
      <c r="F50" s="6" t="inlineStr">
        <is>
          <t>debit</t>
        </is>
      </c>
      <c r="G50" s="6" t="inlineStr">
        <is>
          <t>balance_sheet</t>
        </is>
      </c>
    </row>
    <row r="51">
      <c r="A51" s="6" t="str"/>
      <c r="B51" s="6" t="str"/>
      <c r="C51" s="6" t="str"/>
      <c r="D51" s="6" t="inlineStr">
        <is>
          <t>Printing &amp; Stationery@%</t>
        </is>
      </c>
      <c r="E51" s="39" t="n">
        <v>500</v>
      </c>
      <c r="F51" s="6" t="inlineStr">
        <is>
          <t>debit</t>
        </is>
      </c>
      <c r="G51" s="6" t="inlineStr">
        <is>
          <t>balance_sheet</t>
        </is>
      </c>
    </row>
    <row r="52">
      <c r="A52" s="6" t="str"/>
      <c r="B52" s="6" t="str"/>
      <c r="C52" s="6" t="str"/>
      <c r="D52" s="6" t="inlineStr">
        <is>
          <t>Printing &amp; Stationery@%</t>
        </is>
      </c>
      <c r="E52" s="39" t="n">
        <v>1500</v>
      </c>
      <c r="F52" s="6" t="inlineStr">
        <is>
          <t>debit</t>
        </is>
      </c>
      <c r="G52" s="6" t="inlineStr">
        <is>
          <t>balance_sheet</t>
        </is>
      </c>
    </row>
    <row r="53">
      <c r="A53" s="6" t="str"/>
      <c r="B53" s="6" t="str"/>
      <c r="C53" s="6" t="str"/>
      <c r="D53" s="6" t="inlineStr">
        <is>
          <t>REPAIRE &amp; MAINTENANCE EXPENS</t>
        </is>
      </c>
      <c r="E53" s="39" t="n">
        <v>2727</v>
      </c>
      <c r="F53" s="6" t="inlineStr">
        <is>
          <t>debit</t>
        </is>
      </c>
      <c r="G53" s="6" t="inlineStr">
        <is>
          <t>balance_sheet</t>
        </is>
      </c>
    </row>
    <row r="54">
      <c r="A54" s="6" t="str"/>
      <c r="B54" s="6" t="str"/>
      <c r="C54" s="6" t="str"/>
      <c r="D54" s="6" t="inlineStr">
        <is>
          <t>REPAIRE &amp; MAINTENANCE EXPENS</t>
        </is>
      </c>
      <c r="E54" s="39" t="n">
        <v>6276.35</v>
      </c>
      <c r="F54" s="6" t="inlineStr">
        <is>
          <t>debit</t>
        </is>
      </c>
      <c r="G54" s="6" t="inlineStr">
        <is>
          <t>balance_sheet</t>
        </is>
      </c>
    </row>
    <row r="55">
      <c r="A55" s="6" t="str"/>
      <c r="B55" s="6" t="str"/>
      <c r="C55" s="6" t="str"/>
      <c r="D55" s="6" t="inlineStr">
        <is>
          <t>VEHICAL RUNING MAINTENANCE</t>
        </is>
      </c>
      <c r="E55" s="39" t="n">
        <v>10457</v>
      </c>
      <c r="F55" s="6" t="inlineStr">
        <is>
          <t>debit</t>
        </is>
      </c>
      <c r="G55" s="6" t="inlineStr">
        <is>
          <t>balance_sheet</t>
        </is>
      </c>
    </row>
    <row r="56">
      <c r="A56" s="34" t="str"/>
      <c r="B56" s="38" t="inlineStr">
        <is>
          <t>Salaries Director</t>
        </is>
      </c>
      <c r="C56" s="34" t="str"/>
      <c r="D56" s="34" t="str"/>
      <c r="E56" s="35" t="n">
        <v>88000</v>
      </c>
      <c r="F56" s="34" t="inlineStr">
        <is>
          <t>1 txns</t>
        </is>
      </c>
      <c r="G56" s="34" t="inlineStr">
        <is>
          <t>balance_sheet</t>
        </is>
      </c>
    </row>
    <row r="57">
      <c r="A57" s="6" t="str"/>
      <c r="B57" s="6" t="str"/>
      <c r="C57" s="6" t="str"/>
      <c r="D57" s="6" t="inlineStr">
        <is>
          <t>SALARY EXPENSES (DIRECTOR)</t>
        </is>
      </c>
      <c r="E57" s="39" t="n">
        <v>88000</v>
      </c>
      <c r="F57" s="6" t="inlineStr">
        <is>
          <t>debit</t>
        </is>
      </c>
      <c r="G57" s="6" t="inlineStr">
        <is>
          <t>balance_sheet</t>
        </is>
      </c>
    </row>
    <row r="58">
      <c r="A58" s="34" t="str"/>
      <c r="B58" s="38" t="inlineStr">
        <is>
          <t>Staff Welfare &amp; Events</t>
        </is>
      </c>
      <c r="C58" s="34" t="str"/>
      <c r="D58" s="34" t="str"/>
      <c r="E58" s="35" t="n">
        <v>4871.27</v>
      </c>
      <c r="F58" s="34" t="inlineStr">
        <is>
          <t>2 txns</t>
        </is>
      </c>
      <c r="G58" s="34" t="inlineStr">
        <is>
          <t>balance_sheet</t>
        </is>
      </c>
    </row>
    <row r="59">
      <c r="A59" s="6" t="str"/>
      <c r="B59" s="6" t="str"/>
      <c r="C59" s="6" t="str"/>
      <c r="D59" s="6" t="inlineStr">
        <is>
          <t>STAFF WELFARE EXPENSES</t>
        </is>
      </c>
      <c r="E59" s="39" t="n">
        <v>4864</v>
      </c>
      <c r="F59" s="6" t="inlineStr">
        <is>
          <t>debit</t>
        </is>
      </c>
      <c r="G59" s="6" t="inlineStr">
        <is>
          <t>balance_sheet</t>
        </is>
      </c>
    </row>
    <row r="60">
      <c r="A60" s="6" t="str"/>
      <c r="B60" s="6" t="str"/>
      <c r="C60" s="6" t="str"/>
      <c r="D60" s="6" t="inlineStr">
        <is>
          <t>Staff Welfare Expenses @%</t>
        </is>
      </c>
      <c r="E60" s="39" t="n">
        <v>7.27</v>
      </c>
      <c r="F60" s="6" t="inlineStr">
        <is>
          <t>debit</t>
        </is>
      </c>
      <c r="G60" s="6" t="inlineStr">
        <is>
          <t>balance_sheet</t>
        </is>
      </c>
    </row>
    <row r="62">
      <c r="A62" s="24" t="inlineStr">
        <is>
          <t>J. Non-Operating</t>
        </is>
      </c>
      <c r="B62" s="24" t="str"/>
      <c r="C62" s="24" t="str"/>
      <c r="D62" s="24" t="str"/>
      <c r="E62" s="37" t="n">
        <v>1411266</v>
      </c>
      <c r="F62" s="24" t="inlineStr">
        <is>
          <t>2 txns</t>
        </is>
      </c>
      <c r="G62" s="24" t="str"/>
    </row>
    <row r="63">
      <c r="A63" s="34" t="str"/>
      <c r="B63" s="38" t="inlineStr">
        <is>
          <t>Less: Depreciation</t>
        </is>
      </c>
      <c r="C63" s="34" t="str"/>
      <c r="D63" s="34" t="str"/>
      <c r="E63" s="35" t="n">
        <v>1388002</v>
      </c>
      <c r="F63" s="34" t="inlineStr">
        <is>
          <t>1 txns</t>
        </is>
      </c>
      <c r="G63" s="34" t="inlineStr">
        <is>
          <t>balance_sheet</t>
        </is>
      </c>
    </row>
    <row r="64">
      <c r="A64" s="6" t="str"/>
      <c r="B64" s="6" t="str"/>
      <c r="C64" s="6" t="str"/>
      <c r="D64" s="6" t="inlineStr">
        <is>
          <t>Depreciation A/c</t>
        </is>
      </c>
      <c r="E64" s="39" t="n">
        <v>1388002</v>
      </c>
      <c r="F64" s="6" t="inlineStr">
        <is>
          <t>debit</t>
        </is>
      </c>
      <c r="G64" s="6" t="inlineStr">
        <is>
          <t>balance_sheet</t>
        </is>
      </c>
    </row>
    <row r="65">
      <c r="A65" s="34" t="str"/>
      <c r="B65" s="38" t="inlineStr">
        <is>
          <t>Less: Interest Expense</t>
        </is>
      </c>
      <c r="C65" s="34" t="str"/>
      <c r="D65" s="34" t="str"/>
      <c r="E65" s="35" t="n">
        <v>23264</v>
      </c>
      <c r="F65" s="34" t="inlineStr">
        <is>
          <t>1 txns</t>
        </is>
      </c>
      <c r="G65" s="34" t="inlineStr">
        <is>
          <t>balance_sheet</t>
        </is>
      </c>
    </row>
    <row r="66">
      <c r="A66" s="6" t="str"/>
      <c r="B66" s="6" t="str"/>
      <c r="C66" s="6" t="str"/>
      <c r="D66" s="6" t="inlineStr">
        <is>
          <t>INTEREST ON CAR LOAN EXPENS</t>
        </is>
      </c>
      <c r="E66" s="39" t="n">
        <v>23264</v>
      </c>
      <c r="F66" s="6" t="inlineStr">
        <is>
          <t>debit</t>
        </is>
      </c>
      <c r="G66" s="6" t="inlineStr">
        <is>
          <t>balance_sheet</t>
        </is>
      </c>
    </row>
  </sheetData>
  <mergeCells count="1">
    <mergeCell ref="A1:G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25.83203125" customWidth="1" style="2" min="1" max="1"/>
    <col width="30.83203125" customWidth="1" style="2" min="2" max="2"/>
    <col width="12.83203125" customWidth="1" style="2" min="3" max="3"/>
    <col width="45.83203125" customWidth="1" style="2" min="4" max="4"/>
    <col width="15.83203125" customWidth="1" style="2" min="5" max="5"/>
    <col width="10.83203125" customWidth="1" style="2" min="6" max="6"/>
    <col width="15.83203125" customWidth="1" style="2" min="7" max="7"/>
  </cols>
  <sheetData>
    <row r="1">
      <c r="A1" s="40" t="inlineStr">
        <is>
          <t>Feb 2024 - TRANSACTION DETAILS</t>
        </is>
      </c>
    </row>
    <row r="3">
      <c r="A3" s="5" t="inlineStr">
        <is>
          <t>Head</t>
        </is>
      </c>
      <c r="B3" s="5" t="inlineStr">
        <is>
          <t>Subhead</t>
        </is>
      </c>
      <c r="C3" s="5" t="inlineStr">
        <is>
          <t>Date</t>
        </is>
      </c>
      <c r="D3" s="5" t="inlineStr">
        <is>
          <t>Account</t>
        </is>
      </c>
      <c r="E3" s="5" t="inlineStr">
        <is>
          <t>Amount (₹)</t>
        </is>
      </c>
      <c r="F3" s="5" t="inlineStr">
        <is>
          <t>Type</t>
        </is>
      </c>
      <c r="G3" s="5" t="inlineStr">
        <is>
          <t>Source</t>
        </is>
      </c>
    </row>
    <row r="4">
      <c r="A4" s="24" t="inlineStr">
        <is>
          <t>E. COGM</t>
        </is>
      </c>
      <c r="B4" s="24" t="str"/>
      <c r="C4" s="24" t="str"/>
      <c r="D4" s="24" t="str"/>
      <c r="E4" s="37" t="n">
        <v>348478.26</v>
      </c>
      <c r="F4" s="24" t="inlineStr">
        <is>
          <t>7 txns</t>
        </is>
      </c>
      <c r="G4" s="24" t="str"/>
    </row>
    <row r="5">
      <c r="A5" s="34" t="str"/>
      <c r="B5" s="38" t="inlineStr">
        <is>
          <t>Raw Materials &amp; Inventory</t>
        </is>
      </c>
      <c r="C5" s="34" t="str"/>
      <c r="D5" s="34" t="str"/>
      <c r="E5" s="35" t="n">
        <v>1732918.89</v>
      </c>
      <c r="F5" s="34" t="inlineStr">
        <is>
          <t>1 txns</t>
        </is>
      </c>
      <c r="G5" s="34" t="inlineStr">
        <is>
          <t>calculated</t>
        </is>
      </c>
    </row>
    <row r="6">
      <c r="A6" s="6" t="str"/>
      <c r="B6" s="6" t="str"/>
      <c r="C6" s="6" t="str"/>
      <c r="D6" s="6" t="inlineStr">
        <is>
          <t>Raw Materials (Prorated by Revenue)</t>
        </is>
      </c>
      <c r="E6" s="39" t="n">
        <v>1732918.89</v>
      </c>
      <c r="F6" s="6" t="inlineStr">
        <is>
          <t>debit</t>
        </is>
      </c>
      <c r="G6" s="6" t="inlineStr">
        <is>
          <t>calculated</t>
        </is>
      </c>
    </row>
    <row r="7">
      <c r="A7" s="34" t="str"/>
      <c r="B7" s="38" t="inlineStr">
        <is>
          <t>Consumables</t>
        </is>
      </c>
      <c r="C7" s="34" t="str"/>
      <c r="D7" s="34" t="str"/>
      <c r="E7" s="35" t="n">
        <v>7465</v>
      </c>
      <c r="F7" s="34" t="inlineStr">
        <is>
          <t>1 txns</t>
        </is>
      </c>
      <c r="G7" s="34" t="inlineStr">
        <is>
          <t>balance_sheet</t>
        </is>
      </c>
    </row>
    <row r="8">
      <c r="A8" s="6" t="str"/>
      <c r="B8" s="6" t="str"/>
      <c r="C8" s="6" t="str"/>
      <c r="D8" s="6" t="inlineStr">
        <is>
          <t>CONSUMABLE EXPENSES @%</t>
        </is>
      </c>
      <c r="E8" s="39" t="n">
        <v>7465</v>
      </c>
      <c r="F8" s="6" t="inlineStr">
        <is>
          <t>debit</t>
        </is>
      </c>
      <c r="G8" s="6" t="inlineStr">
        <is>
          <t>balance_sheet</t>
        </is>
      </c>
    </row>
    <row r="9">
      <c r="A9" s="34" t="str"/>
      <c r="B9" s="38" t="inlineStr">
        <is>
          <t>Factory Maintenance</t>
        </is>
      </c>
      <c r="C9" s="34" t="str"/>
      <c r="D9" s="34" t="str"/>
      <c r="E9" s="35" t="n">
        <v>31905</v>
      </c>
      <c r="F9" s="34" t="inlineStr">
        <is>
          <t>2 txns</t>
        </is>
      </c>
      <c r="G9" s="34" t="inlineStr">
        <is>
          <t>balance_sheet</t>
        </is>
      </c>
    </row>
    <row r="10">
      <c r="A10" s="6" t="str"/>
      <c r="B10" s="6" t="str"/>
      <c r="C10" s="6" t="str"/>
      <c r="D10" s="6" t="inlineStr">
        <is>
          <t>Electricity &amp; Water Expenses</t>
        </is>
      </c>
      <c r="E10" s="39" t="n">
        <v>12905</v>
      </c>
      <c r="F10" s="6" t="inlineStr">
        <is>
          <t>debit</t>
        </is>
      </c>
      <c r="G10" s="6" t="inlineStr">
        <is>
          <t>balance_sheet</t>
        </is>
      </c>
    </row>
    <row r="11">
      <c r="A11" s="6" t="str"/>
      <c r="B11" s="6" t="str"/>
      <c r="C11" s="6" t="str"/>
      <c r="D11" s="6" t="inlineStr">
        <is>
          <t>POWER BACKUP &amp; MAITENANCE (D</t>
        </is>
      </c>
      <c r="E11" s="39" t="n">
        <v>19000</v>
      </c>
      <c r="F11" s="6" t="inlineStr">
        <is>
          <t>debit</t>
        </is>
      </c>
      <c r="G11" s="6" t="inlineStr">
        <is>
          <t>balance_sheet</t>
        </is>
      </c>
    </row>
    <row r="12">
      <c r="A12" s="34" t="str"/>
      <c r="B12" s="38" t="inlineStr">
        <is>
          <t>Inbound Transport</t>
        </is>
      </c>
      <c r="C12" s="34" t="str"/>
      <c r="D12" s="34" t="str"/>
      <c r="E12" s="35" t="n">
        <v>1200</v>
      </c>
      <c r="F12" s="34" t="inlineStr">
        <is>
          <t>1 txns</t>
        </is>
      </c>
      <c r="G12" s="34" t="inlineStr">
        <is>
          <t>balance_sheet</t>
        </is>
      </c>
    </row>
    <row r="13">
      <c r="A13" s="6" t="str"/>
      <c r="B13" s="6" t="str"/>
      <c r="C13" s="6" t="str"/>
      <c r="D13" s="6" t="inlineStr">
        <is>
          <t>FREIGHT CHARGES@%</t>
        </is>
      </c>
      <c r="E13" s="39" t="n">
        <v>1200</v>
      </c>
      <c r="F13" s="6" t="inlineStr">
        <is>
          <t>debit</t>
        </is>
      </c>
      <c r="G13" s="6" t="inlineStr">
        <is>
          <t>balance_sheet</t>
        </is>
      </c>
    </row>
    <row r="14">
      <c r="A14" s="34" t="str"/>
      <c r="B14" s="38" t="inlineStr">
        <is>
          <t>Job work</t>
        </is>
      </c>
      <c r="C14" s="34" t="str"/>
      <c r="D14" s="34" t="str"/>
      <c r="E14" s="35" t="n">
        <v>187128.26</v>
      </c>
      <c r="F14" s="34" t="inlineStr">
        <is>
          <t>2 txns</t>
        </is>
      </c>
      <c r="G14" s="34" t="inlineStr">
        <is>
          <t>balance_sheet</t>
        </is>
      </c>
    </row>
    <row r="15">
      <c r="A15" s="6" t="str"/>
      <c r="B15" s="6" t="str"/>
      <c r="C15" s="6" t="str"/>
      <c r="D15" s="6" t="inlineStr">
        <is>
          <t>JOB WORK</t>
        </is>
      </c>
      <c r="E15" s="39" t="n">
        <v>14415</v>
      </c>
      <c r="F15" s="6" t="inlineStr">
        <is>
          <t>debit</t>
        </is>
      </c>
      <c r="G15" s="6" t="inlineStr">
        <is>
          <t>balance_sheet</t>
        </is>
      </c>
    </row>
    <row r="16">
      <c r="A16" s="6" t="str"/>
      <c r="B16" s="6" t="str"/>
      <c r="C16" s="6" t="str"/>
      <c r="D16" s="6" t="inlineStr">
        <is>
          <t>JOB WORK @%</t>
        </is>
      </c>
      <c r="E16" s="39" t="n">
        <v>172713.26</v>
      </c>
      <c r="F16" s="6" t="inlineStr">
        <is>
          <t>debit</t>
        </is>
      </c>
      <c r="G16" s="6" t="inlineStr">
        <is>
          <t>balance_sheet</t>
        </is>
      </c>
    </row>
    <row r="17">
      <c r="A17" s="34" t="str"/>
      <c r="B17" s="38" t="inlineStr">
        <is>
          <t>Manufacturing Wages</t>
        </is>
      </c>
      <c r="C17" s="34" t="str"/>
      <c r="D17" s="34" t="str"/>
      <c r="E17" s="35" t="n">
        <v>120780</v>
      </c>
      <c r="F17" s="34" t="inlineStr">
        <is>
          <t>1 txns</t>
        </is>
      </c>
      <c r="G17" s="34" t="inlineStr">
        <is>
          <t>balance_sheet</t>
        </is>
      </c>
    </row>
    <row r="18">
      <c r="A18" s="6" t="str"/>
      <c r="B18" s="6" t="str"/>
      <c r="C18" s="6" t="str"/>
      <c r="D18" s="6" t="inlineStr">
        <is>
          <t>LABOUR &amp; WAGES EXPENSES</t>
        </is>
      </c>
      <c r="E18" s="39" t="n">
        <v>120780</v>
      </c>
      <c r="F18" s="6" t="inlineStr">
        <is>
          <t>debit</t>
        </is>
      </c>
      <c r="G18" s="6" t="inlineStr">
        <is>
          <t>balance_sheet</t>
        </is>
      </c>
    </row>
    <row r="20">
      <c r="A20" s="24" t="inlineStr">
        <is>
          <t>F. Channel &amp; Fulfillment</t>
        </is>
      </c>
      <c r="B20" s="24" t="str"/>
      <c r="C20" s="24" t="str"/>
      <c r="D20" s="24" t="str"/>
      <c r="E20" s="37" t="n">
        <v>19954</v>
      </c>
      <c r="F20" s="24" t="inlineStr">
        <is>
          <t>2 txns</t>
        </is>
      </c>
      <c r="G20" s="24" t="str"/>
    </row>
    <row r="21">
      <c r="A21" s="34" t="str"/>
      <c r="B21" s="38" t="inlineStr">
        <is>
          <t>D2C Fees</t>
        </is>
      </c>
      <c r="C21" s="34" t="str"/>
      <c r="D21" s="34" t="str"/>
      <c r="E21" s="35" t="n">
        <v>19954</v>
      </c>
      <c r="F21" s="34" t="inlineStr">
        <is>
          <t>2 txns</t>
        </is>
      </c>
      <c r="G21" s="34" t="inlineStr">
        <is>
          <t>balance_sheet</t>
        </is>
      </c>
    </row>
    <row r="22">
      <c r="A22" s="6" t="str"/>
      <c r="B22" s="6" t="str"/>
      <c r="C22" s="6" t="str"/>
      <c r="D22" s="6" t="inlineStr">
        <is>
          <t>COURIER &amp; POSTAGE EXPENSE</t>
        </is>
      </c>
      <c r="E22" s="39" t="n">
        <v>1240</v>
      </c>
      <c r="F22" s="6" t="inlineStr">
        <is>
          <t>debit</t>
        </is>
      </c>
      <c r="G22" s="6" t="inlineStr">
        <is>
          <t>balance_sheet</t>
        </is>
      </c>
    </row>
    <row r="23">
      <c r="A23" s="6" t="str"/>
      <c r="B23" s="6" t="str"/>
      <c r="C23" s="6" t="str"/>
      <c r="D23" s="6" t="inlineStr">
        <is>
          <t>FREIGHT CHARGE@%</t>
        </is>
      </c>
      <c r="E23" s="39" t="n">
        <v>18714</v>
      </c>
      <c r="F23" s="6" t="inlineStr">
        <is>
          <t>debit</t>
        </is>
      </c>
      <c r="G23" s="6" t="inlineStr">
        <is>
          <t>balance_sheet</t>
        </is>
      </c>
    </row>
    <row r="25">
      <c r="A25" s="24" t="inlineStr">
        <is>
          <t>G. Sales &amp; Marketing</t>
        </is>
      </c>
      <c r="B25" s="24" t="str"/>
      <c r="C25" s="24" t="str"/>
      <c r="D25" s="24" t="str"/>
      <c r="E25" s="37" t="n">
        <v>184630.58</v>
      </c>
      <c r="F25" s="24" t="inlineStr">
        <is>
          <t>2 txns</t>
        </is>
      </c>
      <c r="G25" s="24" t="str"/>
    </row>
    <row r="26">
      <c r="A26" s="34" t="str"/>
      <c r="B26" s="38" t="inlineStr">
        <is>
          <t>Advertising &amp; Marketing</t>
        </is>
      </c>
      <c r="C26" s="34" t="str"/>
      <c r="D26" s="34" t="str"/>
      <c r="E26" s="35" t="n">
        <v>184630.58</v>
      </c>
      <c r="F26" s="34" t="inlineStr">
        <is>
          <t>2 txns</t>
        </is>
      </c>
      <c r="G26" s="34" t="inlineStr">
        <is>
          <t>balance_sheet</t>
        </is>
      </c>
    </row>
    <row r="27">
      <c r="A27" s="6" t="str"/>
      <c r="B27" s="6" t="str"/>
      <c r="C27" s="6" t="str"/>
      <c r="D27" s="6" t="inlineStr">
        <is>
          <t>BUSINESS PROMOTION EXPENSES</t>
        </is>
      </c>
      <c r="E27" s="39" t="n">
        <v>5900</v>
      </c>
      <c r="F27" s="6" t="inlineStr">
        <is>
          <t>debit</t>
        </is>
      </c>
      <c r="G27" s="6" t="inlineStr">
        <is>
          <t>balance_sheet</t>
        </is>
      </c>
    </row>
    <row r="28">
      <c r="A28" s="6" t="str"/>
      <c r="B28" s="6" t="str"/>
      <c r="C28" s="6" t="str"/>
      <c r="D28" s="6" t="inlineStr">
        <is>
          <t>BUSINESS PROMOTION EXPENSES@</t>
        </is>
      </c>
      <c r="E28" s="39" t="n">
        <v>178730.58</v>
      </c>
      <c r="F28" s="6" t="inlineStr">
        <is>
          <t>debit</t>
        </is>
      </c>
      <c r="G28" s="6" t="inlineStr">
        <is>
          <t>balance_sheet</t>
        </is>
      </c>
    </row>
    <row r="30">
      <c r="A30" s="24" t="inlineStr">
        <is>
          <t>I. Operating Expenses</t>
        </is>
      </c>
      <c r="B30" s="24" t="str"/>
      <c r="C30" s="24" t="str"/>
      <c r="D30" s="24" t="str"/>
      <c r="E30" s="37" t="n">
        <v>664441.33</v>
      </c>
      <c r="F30" s="24" t="inlineStr">
        <is>
          <t>23 txns</t>
        </is>
      </c>
      <c r="G30" s="24" t="str"/>
    </row>
    <row r="31">
      <c r="A31" s="34" t="str"/>
      <c r="B31" s="38" t="inlineStr">
        <is>
          <t>Legal &amp; CA expenses</t>
        </is>
      </c>
      <c r="C31" s="34" t="str"/>
      <c r="D31" s="34" t="str"/>
      <c r="E31" s="35" t="n">
        <v>8500</v>
      </c>
      <c r="F31" s="34" t="inlineStr">
        <is>
          <t>2 txns</t>
        </is>
      </c>
      <c r="G31" s="34" t="inlineStr">
        <is>
          <t>balance_sheet</t>
        </is>
      </c>
    </row>
    <row r="32">
      <c r="A32" s="6" t="str"/>
      <c r="B32" s="6" t="str"/>
      <c r="C32" s="6" t="str"/>
      <c r="D32" s="6" t="inlineStr">
        <is>
          <t>ACCOUNTING &amp; RETURN FILLING</t>
        </is>
      </c>
      <c r="E32" s="39" t="n">
        <v>7500</v>
      </c>
      <c r="F32" s="6" t="inlineStr">
        <is>
          <t>debit</t>
        </is>
      </c>
      <c r="G32" s="6" t="inlineStr">
        <is>
          <t>balance_sheet</t>
        </is>
      </c>
    </row>
    <row r="33">
      <c r="A33" s="6" t="str"/>
      <c r="B33" s="6" t="str"/>
      <c r="C33" s="6" t="str"/>
      <c r="D33" s="6" t="inlineStr">
        <is>
          <t>LEGAL &amp; PROFESSIONAL EXPENS</t>
        </is>
      </c>
      <c r="E33" s="39" t="n">
        <v>1000</v>
      </c>
      <c r="F33" s="6" t="inlineStr">
        <is>
          <t>debit</t>
        </is>
      </c>
      <c r="G33" s="6" t="inlineStr">
        <is>
          <t>balance_sheet</t>
        </is>
      </c>
    </row>
    <row r="34">
      <c r="A34" s="34" t="str"/>
      <c r="B34" s="38" t="inlineStr">
        <is>
          <t>Banks &amp; Finance Charges</t>
        </is>
      </c>
      <c r="C34" s="34" t="str"/>
      <c r="D34" s="34" t="str"/>
      <c r="E34" s="35" t="n">
        <v>525.8</v>
      </c>
      <c r="F34" s="34" t="inlineStr">
        <is>
          <t>1 txns</t>
        </is>
      </c>
      <c r="G34" s="34" t="inlineStr">
        <is>
          <t>balance_sheet</t>
        </is>
      </c>
    </row>
    <row r="35">
      <c r="A35" s="6" t="str"/>
      <c r="B35" s="6" t="str"/>
      <c r="C35" s="6" t="str"/>
      <c r="D35" s="6" t="inlineStr">
        <is>
          <t>BANK CHARGE EXPENCE</t>
        </is>
      </c>
      <c r="E35" s="39" t="n">
        <v>525.8</v>
      </c>
      <c r="F35" s="6" t="inlineStr">
        <is>
          <t>debit</t>
        </is>
      </c>
      <c r="G35" s="6" t="inlineStr">
        <is>
          <t>balance_sheet</t>
        </is>
      </c>
    </row>
    <row r="36">
      <c r="A36" s="34" t="str"/>
      <c r="B36" s="38" t="inlineStr">
        <is>
          <t>Other Operating Expenses</t>
        </is>
      </c>
      <c r="C36" s="34" t="str"/>
      <c r="D36" s="34" t="str"/>
      <c r="E36" s="35" t="n">
        <v>39953.87</v>
      </c>
      <c r="F36" s="34" t="inlineStr">
        <is>
          <t>4 txns</t>
        </is>
      </c>
      <c r="G36" s="34" t="inlineStr">
        <is>
          <t>balance_sheet</t>
        </is>
      </c>
    </row>
    <row r="37">
      <c r="A37" s="6" t="str"/>
      <c r="B37" s="6" t="str"/>
      <c r="C37" s="6" t="str"/>
      <c r="D37" s="6" t="inlineStr">
        <is>
          <t>CONSUMABLES EXPENSES</t>
        </is>
      </c>
      <c r="E37" s="39" t="n">
        <v>1802</v>
      </c>
      <c r="F37" s="6" t="inlineStr">
        <is>
          <t>debit</t>
        </is>
      </c>
      <c r="G37" s="6" t="inlineStr">
        <is>
          <t>balance_sheet</t>
        </is>
      </c>
    </row>
    <row r="38">
      <c r="A38" s="6" t="str"/>
      <c r="B38" s="6" t="str"/>
      <c r="C38" s="6" t="str"/>
      <c r="D38" s="6" t="inlineStr">
        <is>
          <t>Interenet Expenses</t>
        </is>
      </c>
      <c r="E38" s="39" t="n">
        <v>10211.4</v>
      </c>
      <c r="F38" s="6" t="inlineStr">
        <is>
          <t>debit</t>
        </is>
      </c>
      <c r="G38" s="6" t="inlineStr">
        <is>
          <t>balance_sheet</t>
        </is>
      </c>
    </row>
    <row r="39">
      <c r="A39" s="6" t="str"/>
      <c r="B39" s="6" t="str"/>
      <c r="C39" s="6" t="str"/>
      <c r="D39" s="6" t="inlineStr">
        <is>
          <t>Rounded Off</t>
        </is>
      </c>
      <c r="E39" s="39" t="n">
        <v>2.47</v>
      </c>
      <c r="F39" s="6" t="inlineStr">
        <is>
          <t>debit</t>
        </is>
      </c>
      <c r="G39" s="6" t="inlineStr">
        <is>
          <t>balance_sheet</t>
        </is>
      </c>
    </row>
    <row r="40">
      <c r="A40" s="6" t="str"/>
      <c r="B40" s="6" t="str"/>
      <c r="C40" s="6" t="str"/>
      <c r="D40" s="6" t="inlineStr">
        <is>
          <t>TRANSPOTATION EXPENSES</t>
        </is>
      </c>
      <c r="E40" s="39" t="n">
        <v>27938</v>
      </c>
      <c r="F40" s="6" t="inlineStr">
        <is>
          <t>debit</t>
        </is>
      </c>
      <c r="G40" s="6" t="inlineStr">
        <is>
          <t>balance_sheet</t>
        </is>
      </c>
    </row>
    <row r="41">
      <c r="A41" s="34" t="str"/>
      <c r="B41" s="38" t="inlineStr">
        <is>
          <t>Miscellaneous (Travel, insurance)</t>
        </is>
      </c>
      <c r="C41" s="34" t="str"/>
      <c r="D41" s="34" t="str"/>
      <c r="E41" s="35" t="n">
        <v>36030</v>
      </c>
      <c r="F41" s="34" t="inlineStr">
        <is>
          <t>2 txns</t>
        </is>
      </c>
      <c r="G41" s="34" t="inlineStr">
        <is>
          <t>balance_sheet</t>
        </is>
      </c>
    </row>
    <row r="42">
      <c r="A42" s="6" t="str"/>
      <c r="B42" s="6" t="str"/>
      <c r="C42" s="6" t="str"/>
      <c r="D42" s="6" t="inlineStr">
        <is>
          <t>CONVEYANCE &amp; AUTO CHARGE</t>
        </is>
      </c>
      <c r="E42" s="39" t="n">
        <v>28520</v>
      </c>
      <c r="F42" s="6" t="inlineStr">
        <is>
          <t>debit</t>
        </is>
      </c>
      <c r="G42" s="6" t="inlineStr">
        <is>
          <t>balance_sheet</t>
        </is>
      </c>
    </row>
    <row r="43">
      <c r="A43" s="6" t="str"/>
      <c r="B43" s="6" t="str"/>
      <c r="C43" s="6" t="str"/>
      <c r="D43" s="6" t="inlineStr">
        <is>
          <t>Conveyance Expenses</t>
        </is>
      </c>
      <c r="E43" s="39" t="n">
        <v>7510</v>
      </c>
      <c r="F43" s="6" t="inlineStr">
        <is>
          <t>debit</t>
        </is>
      </c>
      <c r="G43" s="6" t="inlineStr">
        <is>
          <t>balance_sheet</t>
        </is>
      </c>
    </row>
    <row r="44">
      <c r="A44" s="34" t="str"/>
      <c r="B44" s="38" t="inlineStr">
        <is>
          <t>Salaries (Admin Mgmt)</t>
        </is>
      </c>
      <c r="C44" s="34" t="str"/>
      <c r="D44" s="34" t="str"/>
      <c r="E44" s="35" t="n">
        <v>322636</v>
      </c>
      <c r="F44" s="34" t="inlineStr">
        <is>
          <t>3 txns</t>
        </is>
      </c>
      <c r="G44" s="34" t="inlineStr">
        <is>
          <t>balance_sheet</t>
        </is>
      </c>
    </row>
    <row r="45">
      <c r="A45" s="6" t="str"/>
      <c r="B45" s="6" t="str"/>
      <c r="C45" s="6" t="str"/>
      <c r="D45" s="6" t="inlineStr">
        <is>
          <t>DRIVER ( SALARY EXPENSE)</t>
        </is>
      </c>
      <c r="E45" s="39" t="n">
        <v>20000</v>
      </c>
      <c r="F45" s="6" t="inlineStr">
        <is>
          <t>debit</t>
        </is>
      </c>
      <c r="G45" s="6" t="inlineStr">
        <is>
          <t>balance_sheet</t>
        </is>
      </c>
    </row>
    <row r="46">
      <c r="A46" s="6" t="str"/>
      <c r="B46" s="6" t="str"/>
      <c r="C46" s="6" t="str"/>
      <c r="D46" s="6" t="inlineStr">
        <is>
          <t>ESI EMPLOYER CONTRIBUTTION E</t>
        </is>
      </c>
      <c r="E46" s="39" t="n">
        <v>7262</v>
      </c>
      <c r="F46" s="6" t="inlineStr">
        <is>
          <t>debit</t>
        </is>
      </c>
      <c r="G46" s="6" t="inlineStr">
        <is>
          <t>balance_sheet</t>
        </is>
      </c>
    </row>
    <row r="47">
      <c r="A47" s="6" t="str"/>
      <c r="B47" s="6" t="str"/>
      <c r="C47" s="6" t="str"/>
      <c r="D47" s="6" t="inlineStr">
        <is>
          <t>Salary Expenses</t>
        </is>
      </c>
      <c r="E47" s="39" t="n">
        <v>295374</v>
      </c>
      <c r="F47" s="6" t="inlineStr">
        <is>
          <t>debit</t>
        </is>
      </c>
      <c r="G47" s="6" t="inlineStr">
        <is>
          <t>balance_sheet</t>
        </is>
      </c>
    </row>
    <row r="48">
      <c r="A48" s="34" t="str"/>
      <c r="B48" s="38" t="inlineStr">
        <is>
          <t>Administrative Expenses</t>
        </is>
      </c>
      <c r="C48" s="34" t="str"/>
      <c r="D48" s="34" t="str"/>
      <c r="E48" s="35" t="n">
        <v>152581.66</v>
      </c>
      <c r="F48" s="34" t="inlineStr">
        <is>
          <t>8 txns</t>
        </is>
      </c>
      <c r="G48" s="34" t="inlineStr">
        <is>
          <t>balance_sheet</t>
        </is>
      </c>
    </row>
    <row r="49">
      <c r="A49" s="6" t="str"/>
      <c r="B49" s="6" t="str"/>
      <c r="C49" s="6" t="str"/>
      <c r="D49" s="6" t="inlineStr">
        <is>
          <t>HOUSE KEEPING EXPENSES@%</t>
        </is>
      </c>
      <c r="E49" s="39" t="n">
        <v>970</v>
      </c>
      <c r="F49" s="6" t="inlineStr">
        <is>
          <t>debit</t>
        </is>
      </c>
      <c r="G49" s="6" t="inlineStr">
        <is>
          <t>balance_sheet</t>
        </is>
      </c>
    </row>
    <row r="50">
      <c r="A50" s="6" t="str"/>
      <c r="B50" s="6" t="str"/>
      <c r="C50" s="6" t="str"/>
      <c r="D50" s="6" t="inlineStr">
        <is>
          <t>OFFICE EXPENSES</t>
        </is>
      </c>
      <c r="E50" s="39" t="n">
        <v>360</v>
      </c>
      <c r="F50" s="6" t="inlineStr">
        <is>
          <t>debit</t>
        </is>
      </c>
      <c r="G50" s="6" t="inlineStr">
        <is>
          <t>balance_sheet</t>
        </is>
      </c>
    </row>
    <row r="51">
      <c r="A51" s="6" t="str"/>
      <c r="B51" s="6" t="str"/>
      <c r="C51" s="6" t="str"/>
      <c r="D51" s="6" t="inlineStr">
        <is>
          <t>Office Rent</t>
        </is>
      </c>
      <c r="E51" s="39" t="n">
        <v>134375</v>
      </c>
      <c r="F51" s="6" t="inlineStr">
        <is>
          <t>debit</t>
        </is>
      </c>
      <c r="G51" s="6" t="inlineStr">
        <is>
          <t>balance_sheet</t>
        </is>
      </c>
    </row>
    <row r="52">
      <c r="A52" s="6" t="str"/>
      <c r="B52" s="6" t="str"/>
      <c r="C52" s="6" t="str"/>
      <c r="D52" s="6" t="inlineStr">
        <is>
          <t>Printing &amp; Stationery@%</t>
        </is>
      </c>
      <c r="E52" s="39" t="n">
        <v>580</v>
      </c>
      <c r="F52" s="6" t="inlineStr">
        <is>
          <t>debit</t>
        </is>
      </c>
      <c r="G52" s="6" t="inlineStr">
        <is>
          <t>balance_sheet</t>
        </is>
      </c>
    </row>
    <row r="53">
      <c r="A53" s="6" t="str"/>
      <c r="B53" s="6" t="str"/>
      <c r="C53" s="6" t="str"/>
      <c r="D53" s="6" t="inlineStr">
        <is>
          <t>Printing &amp; Stationery@%</t>
        </is>
      </c>
      <c r="E53" s="39" t="n">
        <v>1677</v>
      </c>
      <c r="F53" s="6" t="inlineStr">
        <is>
          <t>debit</t>
        </is>
      </c>
      <c r="G53" s="6" t="inlineStr">
        <is>
          <t>balance_sheet</t>
        </is>
      </c>
    </row>
    <row r="54">
      <c r="A54" s="6" t="str"/>
      <c r="B54" s="6" t="str"/>
      <c r="C54" s="6" t="str"/>
      <c r="D54" s="6" t="inlineStr">
        <is>
          <t>PRINTING STATIONERY EXPENSES</t>
        </is>
      </c>
      <c r="E54" s="39" t="n">
        <v>380</v>
      </c>
      <c r="F54" s="6" t="inlineStr">
        <is>
          <t>debit</t>
        </is>
      </c>
      <c r="G54" s="6" t="inlineStr">
        <is>
          <t>balance_sheet</t>
        </is>
      </c>
    </row>
    <row r="55">
      <c r="A55" s="6" t="str"/>
      <c r="B55" s="6" t="str"/>
      <c r="C55" s="6" t="str"/>
      <c r="D55" s="6" t="inlineStr">
        <is>
          <t>REPAIRE &amp; MAINTENANCE EXPENS</t>
        </is>
      </c>
      <c r="E55" s="39" t="n">
        <v>2204.18</v>
      </c>
      <c r="F55" s="6" t="inlineStr">
        <is>
          <t>debit</t>
        </is>
      </c>
      <c r="G55" s="6" t="inlineStr">
        <is>
          <t>balance_sheet</t>
        </is>
      </c>
    </row>
    <row r="56">
      <c r="A56" s="6" t="str"/>
      <c r="B56" s="6" t="str"/>
      <c r="C56" s="6" t="str"/>
      <c r="D56" s="6" t="inlineStr">
        <is>
          <t>VEHICAL RUNING MAINTENANCE</t>
        </is>
      </c>
      <c r="E56" s="39" t="n">
        <v>12035.48</v>
      </c>
      <c r="F56" s="6" t="inlineStr">
        <is>
          <t>debit</t>
        </is>
      </c>
      <c r="G56" s="6" t="inlineStr">
        <is>
          <t>balance_sheet</t>
        </is>
      </c>
    </row>
    <row r="57">
      <c r="A57" s="34" t="str"/>
      <c r="B57" s="38" t="inlineStr">
        <is>
          <t>Salaries Director</t>
        </is>
      </c>
      <c r="C57" s="34" t="str"/>
      <c r="D57" s="34" t="str"/>
      <c r="E57" s="35" t="n">
        <v>88000</v>
      </c>
      <c r="F57" s="34" t="inlineStr">
        <is>
          <t>1 txns</t>
        </is>
      </c>
      <c r="G57" s="34" t="inlineStr">
        <is>
          <t>balance_sheet</t>
        </is>
      </c>
    </row>
    <row r="58">
      <c r="A58" s="6" t="str"/>
      <c r="B58" s="6" t="str"/>
      <c r="C58" s="6" t="str"/>
      <c r="D58" s="6" t="inlineStr">
        <is>
          <t>SALARY EXPENSES (DIRECTOR)</t>
        </is>
      </c>
      <c r="E58" s="39" t="n">
        <v>88000</v>
      </c>
      <c r="F58" s="6" t="inlineStr">
        <is>
          <t>debit</t>
        </is>
      </c>
      <c r="G58" s="6" t="inlineStr">
        <is>
          <t>balance_sheet</t>
        </is>
      </c>
    </row>
    <row r="59">
      <c r="A59" s="34" t="str"/>
      <c r="B59" s="38" t="inlineStr">
        <is>
          <t>Staff Welfare &amp; Events</t>
        </is>
      </c>
      <c r="C59" s="34" t="str"/>
      <c r="D59" s="34" t="str"/>
      <c r="E59" s="35" t="n">
        <v>16214</v>
      </c>
      <c r="F59" s="34" t="inlineStr">
        <is>
          <t>2 txns</t>
        </is>
      </c>
      <c r="G59" s="34" t="inlineStr">
        <is>
          <t>balance_sheet</t>
        </is>
      </c>
    </row>
    <row r="60">
      <c r="A60" s="6" t="str"/>
      <c r="B60" s="6" t="str"/>
      <c r="C60" s="6" t="str"/>
      <c r="D60" s="6" t="inlineStr">
        <is>
          <t>STAFF WELFARE EXPENSES</t>
        </is>
      </c>
      <c r="E60" s="39" t="n">
        <v>12216</v>
      </c>
      <c r="F60" s="6" t="inlineStr">
        <is>
          <t>debit</t>
        </is>
      </c>
      <c r="G60" s="6" t="inlineStr">
        <is>
          <t>balance_sheet</t>
        </is>
      </c>
    </row>
    <row r="61">
      <c r="A61" s="6" t="str"/>
      <c r="B61" s="6" t="str"/>
      <c r="C61" s="6" t="str"/>
      <c r="D61" s="6" t="inlineStr">
        <is>
          <t>Staff Welfare Expenses @%</t>
        </is>
      </c>
      <c r="E61" s="39" t="n">
        <v>3998</v>
      </c>
      <c r="F61" s="6" t="inlineStr">
        <is>
          <t>debit</t>
        </is>
      </c>
      <c r="G61" s="6" t="inlineStr">
        <is>
          <t>balance_sheet</t>
        </is>
      </c>
    </row>
    <row r="63">
      <c r="A63" s="24" t="inlineStr">
        <is>
          <t>J. Non-Operating</t>
        </is>
      </c>
      <c r="B63" s="24" t="str"/>
      <c r="C63" s="24" t="str"/>
      <c r="D63" s="24" t="str"/>
      <c r="E63" s="37" t="n">
        <v>23493</v>
      </c>
      <c r="F63" s="24" t="inlineStr">
        <is>
          <t>1 txns</t>
        </is>
      </c>
      <c r="G63" s="24" t="str"/>
    </row>
    <row r="64">
      <c r="A64" s="34" t="str"/>
      <c r="B64" s="38" t="inlineStr">
        <is>
          <t>Less: Interest Expense</t>
        </is>
      </c>
      <c r="C64" s="34" t="str"/>
      <c r="D64" s="34" t="str"/>
      <c r="E64" s="35" t="n">
        <v>23493</v>
      </c>
      <c r="F64" s="34" t="inlineStr">
        <is>
          <t>1 txns</t>
        </is>
      </c>
      <c r="G64" s="34" t="inlineStr">
        <is>
          <t>balance_sheet</t>
        </is>
      </c>
    </row>
    <row r="65">
      <c r="A65" s="6" t="str"/>
      <c r="B65" s="6" t="str"/>
      <c r="C65" s="6" t="str"/>
      <c r="D65" s="6" t="inlineStr">
        <is>
          <t>INTEREST ON CAR LOAN EXPENS</t>
        </is>
      </c>
      <c r="E65" s="39" t="n">
        <v>23493</v>
      </c>
      <c r="F65" s="6" t="inlineStr">
        <is>
          <t>debit</t>
        </is>
      </c>
      <c r="G65" s="6" t="inlineStr">
        <is>
          <t>balance_sheet</t>
        </is>
      </c>
    </row>
  </sheetData>
  <mergeCells count="1">
    <mergeCell ref="A1:G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25.83203125" customWidth="1" style="2" min="1" max="1"/>
    <col width="30.83203125" customWidth="1" style="2" min="2" max="2"/>
    <col width="12.83203125" customWidth="1" style="2" min="3" max="3"/>
    <col width="45.83203125" customWidth="1" style="2" min="4" max="4"/>
    <col width="15.83203125" customWidth="1" style="2" min="5" max="5"/>
    <col width="10.83203125" customWidth="1" style="2" min="6" max="6"/>
    <col width="15.83203125" customWidth="1" style="2" min="7" max="7"/>
  </cols>
  <sheetData>
    <row r="1">
      <c r="A1" s="40" t="inlineStr">
        <is>
          <t>Jan 2024 - TRANSACTION DETAILS</t>
        </is>
      </c>
    </row>
    <row r="3">
      <c r="A3" s="5" t="inlineStr">
        <is>
          <t>Head</t>
        </is>
      </c>
      <c r="B3" s="5" t="inlineStr">
        <is>
          <t>Subhead</t>
        </is>
      </c>
      <c r="C3" s="5" t="inlineStr">
        <is>
          <t>Date</t>
        </is>
      </c>
      <c r="D3" s="5" t="inlineStr">
        <is>
          <t>Account</t>
        </is>
      </c>
      <c r="E3" s="5" t="inlineStr">
        <is>
          <t>Amount (₹)</t>
        </is>
      </c>
      <c r="F3" s="5" t="inlineStr">
        <is>
          <t>Type</t>
        </is>
      </c>
      <c r="G3" s="5" t="inlineStr">
        <is>
          <t>Source</t>
        </is>
      </c>
    </row>
    <row r="4">
      <c r="A4" s="24" t="inlineStr">
        <is>
          <t>E. COGM</t>
        </is>
      </c>
      <c r="B4" s="24" t="str"/>
      <c r="C4" s="24" t="str"/>
      <c r="D4" s="24" t="str"/>
      <c r="E4" s="37" t="n">
        <v>422572.5</v>
      </c>
      <c r="F4" s="24" t="inlineStr">
        <is>
          <t>7 txns</t>
        </is>
      </c>
      <c r="G4" s="24" t="str"/>
    </row>
    <row r="5">
      <c r="A5" s="34" t="str"/>
      <c r="B5" s="38" t="inlineStr">
        <is>
          <t>Raw Materials &amp; Inventory</t>
        </is>
      </c>
      <c r="C5" s="34" t="str"/>
      <c r="D5" s="34" t="str"/>
      <c r="E5" s="35" t="n">
        <v>2270599.88</v>
      </c>
      <c r="F5" s="34" t="inlineStr">
        <is>
          <t>1 txns</t>
        </is>
      </c>
      <c r="G5" s="34" t="inlineStr">
        <is>
          <t>calculated</t>
        </is>
      </c>
    </row>
    <row r="6">
      <c r="A6" s="6" t="str"/>
      <c r="B6" s="6" t="str"/>
      <c r="C6" s="6" t="str"/>
      <c r="D6" s="6" t="inlineStr">
        <is>
          <t>Raw Materials (Prorated by Revenue)</t>
        </is>
      </c>
      <c r="E6" s="39" t="n">
        <v>2270599.88</v>
      </c>
      <c r="F6" s="6" t="inlineStr">
        <is>
          <t>debit</t>
        </is>
      </c>
      <c r="G6" s="6" t="inlineStr">
        <is>
          <t>calculated</t>
        </is>
      </c>
    </row>
    <row r="7">
      <c r="A7" s="34" t="str"/>
      <c r="B7" s="38" t="inlineStr">
        <is>
          <t>Consumables</t>
        </is>
      </c>
      <c r="C7" s="34" t="str"/>
      <c r="D7" s="34" t="str"/>
      <c r="E7" s="35" t="n">
        <v>5660</v>
      </c>
      <c r="F7" s="34" t="inlineStr">
        <is>
          <t>1 txns</t>
        </is>
      </c>
      <c r="G7" s="34" t="inlineStr">
        <is>
          <t>balance_sheet</t>
        </is>
      </c>
    </row>
    <row r="8">
      <c r="A8" s="6" t="str"/>
      <c r="B8" s="6" t="str"/>
      <c r="C8" s="6" t="str"/>
      <c r="D8" s="6" t="inlineStr">
        <is>
          <t>CONSUMABLE EXPENSES @%</t>
        </is>
      </c>
      <c r="E8" s="39" t="n">
        <v>5660</v>
      </c>
      <c r="F8" s="6" t="inlineStr">
        <is>
          <t>debit</t>
        </is>
      </c>
      <c r="G8" s="6" t="inlineStr">
        <is>
          <t>balance_sheet</t>
        </is>
      </c>
    </row>
    <row r="9">
      <c r="A9" s="34" t="str"/>
      <c r="B9" s="38" t="inlineStr">
        <is>
          <t>Factory Maintenance</t>
        </is>
      </c>
      <c r="C9" s="34" t="str"/>
      <c r="D9" s="34" t="str"/>
      <c r="E9" s="35" t="n">
        <v>32419</v>
      </c>
      <c r="F9" s="34" t="inlineStr">
        <is>
          <t>2 txns</t>
        </is>
      </c>
      <c r="G9" s="34" t="inlineStr">
        <is>
          <t>balance_sheet</t>
        </is>
      </c>
    </row>
    <row r="10">
      <c r="A10" s="6" t="str"/>
      <c r="B10" s="6" t="str"/>
      <c r="C10" s="6" t="str"/>
      <c r="D10" s="6" t="inlineStr">
        <is>
          <t>Electricity &amp; Water Expenses</t>
        </is>
      </c>
      <c r="E10" s="39" t="n">
        <v>13419</v>
      </c>
      <c r="F10" s="6" t="inlineStr">
        <is>
          <t>debit</t>
        </is>
      </c>
      <c r="G10" s="6" t="inlineStr">
        <is>
          <t>balance_sheet</t>
        </is>
      </c>
    </row>
    <row r="11">
      <c r="A11" s="6" t="str"/>
      <c r="B11" s="6" t="str"/>
      <c r="C11" s="6" t="str"/>
      <c r="D11" s="6" t="inlineStr">
        <is>
          <t>POWER BACKUP &amp; MAITENANCE (D</t>
        </is>
      </c>
      <c r="E11" s="39" t="n">
        <v>19000</v>
      </c>
      <c r="F11" s="6" t="inlineStr">
        <is>
          <t>debit</t>
        </is>
      </c>
      <c r="G11" s="6" t="inlineStr">
        <is>
          <t>balance_sheet</t>
        </is>
      </c>
    </row>
    <row r="12">
      <c r="A12" s="34" t="str"/>
      <c r="B12" s="38" t="inlineStr">
        <is>
          <t>Inbound Transport</t>
        </is>
      </c>
      <c r="C12" s="34" t="str"/>
      <c r="D12" s="34" t="str"/>
      <c r="E12" s="35" t="n">
        <v>2450</v>
      </c>
      <c r="F12" s="34" t="inlineStr">
        <is>
          <t>1 txns</t>
        </is>
      </c>
      <c r="G12" s="34" t="inlineStr">
        <is>
          <t>balance_sheet</t>
        </is>
      </c>
    </row>
    <row r="13">
      <c r="A13" s="6" t="str"/>
      <c r="B13" s="6" t="str"/>
      <c r="C13" s="6" t="str"/>
      <c r="D13" s="6" t="inlineStr">
        <is>
          <t>FREIGHT CHARGES@%</t>
        </is>
      </c>
      <c r="E13" s="39" t="n">
        <v>2450</v>
      </c>
      <c r="F13" s="6" t="inlineStr">
        <is>
          <t>debit</t>
        </is>
      </c>
      <c r="G13" s="6" t="inlineStr">
        <is>
          <t>balance_sheet</t>
        </is>
      </c>
    </row>
    <row r="14">
      <c r="A14" s="34" t="str"/>
      <c r="B14" s="38" t="inlineStr">
        <is>
          <t>Job work</t>
        </is>
      </c>
      <c r="C14" s="34" t="str"/>
      <c r="D14" s="34" t="str"/>
      <c r="E14" s="35" t="n">
        <v>221922.5</v>
      </c>
      <c r="F14" s="34" t="inlineStr">
        <is>
          <t>2 txns</t>
        </is>
      </c>
      <c r="G14" s="34" t="inlineStr">
        <is>
          <t>balance_sheet</t>
        </is>
      </c>
    </row>
    <row r="15">
      <c r="A15" s="6" t="str"/>
      <c r="B15" s="6" t="str"/>
      <c r="C15" s="6" t="str"/>
      <c r="D15" s="6" t="inlineStr">
        <is>
          <t>JOB WORK</t>
        </is>
      </c>
      <c r="E15" s="39" t="n">
        <v>17575</v>
      </c>
      <c r="F15" s="6" t="inlineStr">
        <is>
          <t>debit</t>
        </is>
      </c>
      <c r="G15" s="6" t="inlineStr">
        <is>
          <t>balance_sheet</t>
        </is>
      </c>
    </row>
    <row r="16">
      <c r="A16" s="6" t="str"/>
      <c r="B16" s="6" t="str"/>
      <c r="C16" s="6" t="str"/>
      <c r="D16" s="6" t="inlineStr">
        <is>
          <t>JOB WORK @%</t>
        </is>
      </c>
      <c r="E16" s="39" t="n">
        <v>204347.5</v>
      </c>
      <c r="F16" s="6" t="inlineStr">
        <is>
          <t>debit</t>
        </is>
      </c>
      <c r="G16" s="6" t="inlineStr">
        <is>
          <t>balance_sheet</t>
        </is>
      </c>
    </row>
    <row r="17">
      <c r="A17" s="34" t="str"/>
      <c r="B17" s="38" t="inlineStr">
        <is>
          <t>Manufacturing Wages</t>
        </is>
      </c>
      <c r="C17" s="34" t="str"/>
      <c r="D17" s="34" t="str"/>
      <c r="E17" s="35" t="n">
        <v>160121</v>
      </c>
      <c r="F17" s="34" t="inlineStr">
        <is>
          <t>1 txns</t>
        </is>
      </c>
      <c r="G17" s="34" t="inlineStr">
        <is>
          <t>balance_sheet</t>
        </is>
      </c>
    </row>
    <row r="18">
      <c r="A18" s="6" t="str"/>
      <c r="B18" s="6" t="str"/>
      <c r="C18" s="6" t="str"/>
      <c r="D18" s="6" t="inlineStr">
        <is>
          <t>LABOUR &amp; WAGES EXPENSES</t>
        </is>
      </c>
      <c r="E18" s="39" t="n">
        <v>160121</v>
      </c>
      <c r="F18" s="6" t="inlineStr">
        <is>
          <t>debit</t>
        </is>
      </c>
      <c r="G18" s="6" t="inlineStr">
        <is>
          <t>balance_sheet</t>
        </is>
      </c>
    </row>
    <row r="20">
      <c r="A20" s="24" t="inlineStr">
        <is>
          <t>F. Channel &amp; Fulfillment</t>
        </is>
      </c>
      <c r="B20" s="24" t="str"/>
      <c r="C20" s="24" t="str"/>
      <c r="D20" s="24" t="str"/>
      <c r="E20" s="37" t="n">
        <v>1320</v>
      </c>
      <c r="F20" s="24" t="inlineStr">
        <is>
          <t>1 txns</t>
        </is>
      </c>
      <c r="G20" s="24" t="str"/>
    </row>
    <row r="21">
      <c r="A21" s="34" t="str"/>
      <c r="B21" s="38" t="inlineStr">
        <is>
          <t>D2C Fees</t>
        </is>
      </c>
      <c r="C21" s="34" t="str"/>
      <c r="D21" s="34" t="str"/>
      <c r="E21" s="35" t="n">
        <v>1320</v>
      </c>
      <c r="F21" s="34" t="inlineStr">
        <is>
          <t>1 txns</t>
        </is>
      </c>
      <c r="G21" s="34" t="inlineStr">
        <is>
          <t>balance_sheet</t>
        </is>
      </c>
    </row>
    <row r="22">
      <c r="A22" s="6" t="str"/>
      <c r="B22" s="6" t="str"/>
      <c r="C22" s="6" t="str"/>
      <c r="D22" s="6" t="inlineStr">
        <is>
          <t>COURIER &amp; POSTAGE EXPENSE</t>
        </is>
      </c>
      <c r="E22" s="39" t="n">
        <v>1320</v>
      </c>
      <c r="F22" s="6" t="inlineStr">
        <is>
          <t>debit</t>
        </is>
      </c>
      <c r="G22" s="6" t="inlineStr">
        <is>
          <t>balance_sheet</t>
        </is>
      </c>
    </row>
    <row r="24">
      <c r="A24" s="24" t="inlineStr">
        <is>
          <t>G. Sales &amp; Marketing</t>
        </is>
      </c>
      <c r="B24" s="24" t="str"/>
      <c r="C24" s="24" t="str"/>
      <c r="D24" s="24" t="str"/>
      <c r="E24" s="37" t="n">
        <v>112723.81</v>
      </c>
      <c r="F24" s="24" t="inlineStr">
        <is>
          <t>1 txns</t>
        </is>
      </c>
      <c r="G24" s="24" t="str"/>
    </row>
    <row r="25">
      <c r="A25" s="34" t="str"/>
      <c r="B25" s="38" t="inlineStr">
        <is>
          <t>Advertising &amp; Marketing</t>
        </is>
      </c>
      <c r="C25" s="34" t="str"/>
      <c r="D25" s="34" t="str"/>
      <c r="E25" s="35" t="n">
        <v>112723.81</v>
      </c>
      <c r="F25" s="34" t="inlineStr">
        <is>
          <t>1 txns</t>
        </is>
      </c>
      <c r="G25" s="34" t="inlineStr">
        <is>
          <t>balance_sheet</t>
        </is>
      </c>
    </row>
    <row r="26">
      <c r="A26" s="6" t="str"/>
      <c r="B26" s="6" t="str"/>
      <c r="C26" s="6" t="str"/>
      <c r="D26" s="6" t="inlineStr">
        <is>
          <t>BUSINESS PROMOTION EXPENSES@</t>
        </is>
      </c>
      <c r="E26" s="39" t="n">
        <v>112723.81</v>
      </c>
      <c r="F26" s="6" t="inlineStr">
        <is>
          <t>debit</t>
        </is>
      </c>
      <c r="G26" s="6" t="inlineStr">
        <is>
          <t>balance_sheet</t>
        </is>
      </c>
    </row>
    <row r="28">
      <c r="A28" s="24" t="inlineStr">
        <is>
          <t>I. Operating Expenses</t>
        </is>
      </c>
      <c r="B28" s="24" t="str"/>
      <c r="C28" s="24" t="str"/>
      <c r="D28" s="24" t="str"/>
      <c r="E28" s="37" t="n">
        <v>807183.7</v>
      </c>
      <c r="F28" s="24" t="inlineStr">
        <is>
          <t>22 txns</t>
        </is>
      </c>
      <c r="G28" s="24" t="str"/>
    </row>
    <row r="29">
      <c r="A29" s="34" t="str"/>
      <c r="B29" s="38" t="inlineStr">
        <is>
          <t>Legal &amp; CA expenses</t>
        </is>
      </c>
      <c r="C29" s="34" t="str"/>
      <c r="D29" s="34" t="str"/>
      <c r="E29" s="35" t="n">
        <v>141550</v>
      </c>
      <c r="F29" s="34" t="inlineStr">
        <is>
          <t>2 txns</t>
        </is>
      </c>
      <c r="G29" s="34" t="inlineStr">
        <is>
          <t>balance_sheet</t>
        </is>
      </c>
    </row>
    <row r="30">
      <c r="A30" s="6" t="str"/>
      <c r="B30" s="6" t="str"/>
      <c r="C30" s="6" t="str"/>
      <c r="D30" s="6" t="inlineStr">
        <is>
          <t>ACCOUNTING &amp; RETURN FILLING</t>
        </is>
      </c>
      <c r="E30" s="39" t="n">
        <v>7500</v>
      </c>
      <c r="F30" s="6" t="inlineStr">
        <is>
          <t>debit</t>
        </is>
      </c>
      <c r="G30" s="6" t="inlineStr">
        <is>
          <t>balance_sheet</t>
        </is>
      </c>
    </row>
    <row r="31">
      <c r="A31" s="6" t="str"/>
      <c r="B31" s="6" t="str"/>
      <c r="C31" s="6" t="str"/>
      <c r="D31" s="6" t="inlineStr">
        <is>
          <t>LEGAL &amp; PROFESSIONAL EXPENS</t>
        </is>
      </c>
      <c r="E31" s="39" t="n">
        <v>134050</v>
      </c>
      <c r="F31" s="6" t="inlineStr">
        <is>
          <t>debit</t>
        </is>
      </c>
      <c r="G31" s="6" t="inlineStr">
        <is>
          <t>balance_sheet</t>
        </is>
      </c>
    </row>
    <row r="32">
      <c r="A32" s="34" t="str"/>
      <c r="B32" s="38" t="inlineStr">
        <is>
          <t>Banks &amp; Finance Charges</t>
        </is>
      </c>
      <c r="C32" s="34" t="str"/>
      <c r="D32" s="34" t="str"/>
      <c r="E32" s="35" t="n">
        <v>4.14</v>
      </c>
      <c r="F32" s="34" t="inlineStr">
        <is>
          <t>1 txns</t>
        </is>
      </c>
      <c r="G32" s="34" t="inlineStr">
        <is>
          <t>balance_sheet</t>
        </is>
      </c>
    </row>
    <row r="33">
      <c r="A33" s="6" t="str"/>
      <c r="B33" s="6" t="str"/>
      <c r="C33" s="6" t="str"/>
      <c r="D33" s="6" t="inlineStr">
        <is>
          <t>BANK CHARGE EXPENCE</t>
        </is>
      </c>
      <c r="E33" s="39" t="n">
        <v>4.14</v>
      </c>
      <c r="F33" s="6" t="inlineStr">
        <is>
          <t>debit</t>
        </is>
      </c>
      <c r="G33" s="6" t="inlineStr">
        <is>
          <t>balance_sheet</t>
        </is>
      </c>
    </row>
    <row r="34">
      <c r="A34" s="34" t="str"/>
      <c r="B34" s="38" t="inlineStr">
        <is>
          <t>Other Operating Expenses</t>
        </is>
      </c>
      <c r="C34" s="34" t="str"/>
      <c r="D34" s="34" t="str"/>
      <c r="E34" s="35" t="n">
        <v>60707.33</v>
      </c>
      <c r="F34" s="34" t="inlineStr">
        <is>
          <t>5 txns</t>
        </is>
      </c>
      <c r="G34" s="34" t="inlineStr">
        <is>
          <t>balance_sheet</t>
        </is>
      </c>
    </row>
    <row r="35">
      <c r="A35" s="6" t="str"/>
      <c r="B35" s="6" t="str"/>
      <c r="C35" s="6" t="str"/>
      <c r="D35" s="6" t="inlineStr">
        <is>
          <t>CONSUMABLES EXPENSES</t>
        </is>
      </c>
      <c r="E35" s="39" t="n">
        <v>10052</v>
      </c>
      <c r="F35" s="6" t="inlineStr">
        <is>
          <t>debit</t>
        </is>
      </c>
      <c r="G35" s="6" t="inlineStr">
        <is>
          <t>balance_sheet</t>
        </is>
      </c>
    </row>
    <row r="36">
      <c r="A36" s="6" t="str"/>
      <c r="B36" s="6" t="str"/>
      <c r="C36" s="6" t="str"/>
      <c r="D36" s="6" t="inlineStr">
        <is>
          <t>Interenet Expenses</t>
        </is>
      </c>
      <c r="E36" s="39" t="n">
        <v>1191.4</v>
      </c>
      <c r="F36" s="6" t="inlineStr">
        <is>
          <t>debit</t>
        </is>
      </c>
      <c r="G36" s="6" t="inlineStr">
        <is>
          <t>balance_sheet</t>
        </is>
      </c>
    </row>
    <row r="37">
      <c r="A37" s="6" t="str"/>
      <c r="B37" s="6" t="str"/>
      <c r="C37" s="6" t="str"/>
      <c r="D37" s="6" t="inlineStr">
        <is>
          <t>RENEWVATION &amp; INTERIOR EXPEN</t>
        </is>
      </c>
      <c r="E37" s="39" t="n">
        <v>2.49</v>
      </c>
      <c r="F37" s="6" t="inlineStr">
        <is>
          <t>debit</t>
        </is>
      </c>
      <c r="G37" s="6" t="inlineStr">
        <is>
          <t>balance_sheet</t>
        </is>
      </c>
    </row>
    <row r="38">
      <c r="A38" s="6" t="str"/>
      <c r="B38" s="6" t="str"/>
      <c r="C38" s="6" t="str"/>
      <c r="D38" s="6" t="inlineStr">
        <is>
          <t>Rounded Off</t>
        </is>
      </c>
      <c r="E38" s="39" t="n">
        <v>5.44</v>
      </c>
      <c r="F38" s="6" t="inlineStr">
        <is>
          <t>debit</t>
        </is>
      </c>
      <c r="G38" s="6" t="inlineStr">
        <is>
          <t>balance_sheet</t>
        </is>
      </c>
    </row>
    <row r="39">
      <c r="A39" s="6" t="str"/>
      <c r="B39" s="6" t="str"/>
      <c r="C39" s="6" t="str"/>
      <c r="D39" s="6" t="inlineStr">
        <is>
          <t>TRANSPOTATION EXPENSES</t>
        </is>
      </c>
      <c r="E39" s="39" t="n">
        <v>49456</v>
      </c>
      <c r="F39" s="6" t="inlineStr">
        <is>
          <t>debit</t>
        </is>
      </c>
      <c r="G39" s="6" t="inlineStr">
        <is>
          <t>balance_sheet</t>
        </is>
      </c>
    </row>
    <row r="40">
      <c r="A40" s="34" t="str"/>
      <c r="B40" s="38" t="inlineStr">
        <is>
          <t>Miscellaneous (Travel, insurance)</t>
        </is>
      </c>
      <c r="C40" s="34" t="str"/>
      <c r="D40" s="34" t="str"/>
      <c r="E40" s="35" t="n">
        <v>22440</v>
      </c>
      <c r="F40" s="34" t="inlineStr">
        <is>
          <t>2 txns</t>
        </is>
      </c>
      <c r="G40" s="34" t="inlineStr">
        <is>
          <t>balance_sheet</t>
        </is>
      </c>
    </row>
    <row r="41">
      <c r="A41" s="6" t="str"/>
      <c r="B41" s="6" t="str"/>
      <c r="C41" s="6" t="str"/>
      <c r="D41" s="6" t="inlineStr">
        <is>
          <t>CONVEYANCE &amp; AUTO CHARGE</t>
        </is>
      </c>
      <c r="E41" s="39" t="n">
        <v>14520</v>
      </c>
      <c r="F41" s="6" t="inlineStr">
        <is>
          <t>debit</t>
        </is>
      </c>
      <c r="G41" s="6" t="inlineStr">
        <is>
          <t>balance_sheet</t>
        </is>
      </c>
    </row>
    <row r="42">
      <c r="A42" s="6" t="str"/>
      <c r="B42" s="6" t="str"/>
      <c r="C42" s="6" t="str"/>
      <c r="D42" s="6" t="inlineStr">
        <is>
          <t>Conveyance Expenses</t>
        </is>
      </c>
      <c r="E42" s="39" t="n">
        <v>7920</v>
      </c>
      <c r="F42" s="6" t="inlineStr">
        <is>
          <t>debit</t>
        </is>
      </c>
      <c r="G42" s="6" t="inlineStr">
        <is>
          <t>balance_sheet</t>
        </is>
      </c>
    </row>
    <row r="43">
      <c r="A43" s="34" t="str"/>
      <c r="B43" s="38" t="inlineStr">
        <is>
          <t>Salaries (Admin Mgmt)</t>
        </is>
      </c>
      <c r="C43" s="34" t="str"/>
      <c r="D43" s="34" t="str"/>
      <c r="E43" s="35" t="n">
        <v>332735</v>
      </c>
      <c r="F43" s="34" t="inlineStr">
        <is>
          <t>3 txns</t>
        </is>
      </c>
      <c r="G43" s="34" t="inlineStr">
        <is>
          <t>balance_sheet</t>
        </is>
      </c>
    </row>
    <row r="44">
      <c r="A44" s="6" t="str"/>
      <c r="B44" s="6" t="str"/>
      <c r="C44" s="6" t="str"/>
      <c r="D44" s="6" t="inlineStr">
        <is>
          <t>DRIVER ( SALARY EXPENSE)</t>
        </is>
      </c>
      <c r="E44" s="39" t="n">
        <v>20000</v>
      </c>
      <c r="F44" s="6" t="inlineStr">
        <is>
          <t>debit</t>
        </is>
      </c>
      <c r="G44" s="6" t="inlineStr">
        <is>
          <t>balance_sheet</t>
        </is>
      </c>
    </row>
    <row r="45">
      <c r="A45" s="6" t="str"/>
      <c r="B45" s="6" t="str"/>
      <c r="C45" s="6" t="str"/>
      <c r="D45" s="6" t="inlineStr">
        <is>
          <t>ESI EMPLOYER CONTRIBUTTION E</t>
        </is>
      </c>
      <c r="E45" s="39" t="n">
        <v>6195</v>
      </c>
      <c r="F45" s="6" t="inlineStr">
        <is>
          <t>debit</t>
        </is>
      </c>
      <c r="G45" s="6" t="inlineStr">
        <is>
          <t>balance_sheet</t>
        </is>
      </c>
    </row>
    <row r="46">
      <c r="A46" s="6" t="str"/>
      <c r="B46" s="6" t="str"/>
      <c r="C46" s="6" t="str"/>
      <c r="D46" s="6" t="inlineStr">
        <is>
          <t>Salary Expenses</t>
        </is>
      </c>
      <c r="E46" s="39" t="n">
        <v>306540</v>
      </c>
      <c r="F46" s="6" t="inlineStr">
        <is>
          <t>debit</t>
        </is>
      </c>
      <c r="G46" s="6" t="inlineStr">
        <is>
          <t>balance_sheet</t>
        </is>
      </c>
    </row>
    <row r="47">
      <c r="A47" s="34" t="str"/>
      <c r="B47" s="38" t="inlineStr">
        <is>
          <t>Administrative Expenses</t>
        </is>
      </c>
      <c r="C47" s="34" t="str"/>
      <c r="D47" s="34" t="str"/>
      <c r="E47" s="35" t="n">
        <v>159517.23</v>
      </c>
      <c r="F47" s="34" t="inlineStr">
        <is>
          <t>7 txns</t>
        </is>
      </c>
      <c r="G47" s="34" t="inlineStr">
        <is>
          <t>balance_sheet</t>
        </is>
      </c>
    </row>
    <row r="48">
      <c r="A48" s="6" t="str"/>
      <c r="B48" s="6" t="str"/>
      <c r="C48" s="6" t="str"/>
      <c r="D48" s="6" t="inlineStr">
        <is>
          <t>OFFICE EXPENSES</t>
        </is>
      </c>
      <c r="E48" s="39" t="n">
        <v>140</v>
      </c>
      <c r="F48" s="6" t="inlineStr">
        <is>
          <t>debit</t>
        </is>
      </c>
      <c r="G48" s="6" t="inlineStr">
        <is>
          <t>balance_sheet</t>
        </is>
      </c>
    </row>
    <row r="49">
      <c r="A49" s="6" t="str"/>
      <c r="B49" s="6" t="str"/>
      <c r="C49" s="6" t="str"/>
      <c r="D49" s="6" t="inlineStr">
        <is>
          <t>Office Rent</t>
        </is>
      </c>
      <c r="E49" s="39" t="n">
        <v>134375</v>
      </c>
      <c r="F49" s="6" t="inlineStr">
        <is>
          <t>debit</t>
        </is>
      </c>
      <c r="G49" s="6" t="inlineStr">
        <is>
          <t>balance_sheet</t>
        </is>
      </c>
    </row>
    <row r="50">
      <c r="A50" s="6" t="str"/>
      <c r="B50" s="6" t="str"/>
      <c r="C50" s="6" t="str"/>
      <c r="D50" s="6" t="inlineStr">
        <is>
          <t>Printing &amp; Stationery@%</t>
        </is>
      </c>
      <c r="E50" s="39" t="n">
        <v>740</v>
      </c>
      <c r="F50" s="6" t="inlineStr">
        <is>
          <t>debit</t>
        </is>
      </c>
      <c r="G50" s="6" t="inlineStr">
        <is>
          <t>balance_sheet</t>
        </is>
      </c>
    </row>
    <row r="51">
      <c r="A51" s="6" t="str"/>
      <c r="B51" s="6" t="str"/>
      <c r="C51" s="6" t="str"/>
      <c r="D51" s="6" t="inlineStr">
        <is>
          <t>REPAIRE &amp; MAINTENANCE EXPENS</t>
        </is>
      </c>
      <c r="E51" s="39" t="n">
        <v>3820</v>
      </c>
      <c r="F51" s="6" t="inlineStr">
        <is>
          <t>debit</t>
        </is>
      </c>
      <c r="G51" s="6" t="inlineStr">
        <is>
          <t>balance_sheet</t>
        </is>
      </c>
    </row>
    <row r="52">
      <c r="A52" s="6" t="str"/>
      <c r="B52" s="6" t="str"/>
      <c r="C52" s="6" t="str"/>
      <c r="D52" s="6" t="inlineStr">
        <is>
          <t>REPAIRE &amp; MAINTENANCE EXPENS</t>
        </is>
      </c>
      <c r="E52" s="39" t="n">
        <v>3600</v>
      </c>
      <c r="F52" s="6" t="inlineStr">
        <is>
          <t>debit</t>
        </is>
      </c>
      <c r="G52" s="6" t="inlineStr">
        <is>
          <t>balance_sheet</t>
        </is>
      </c>
    </row>
    <row r="53">
      <c r="A53" s="6" t="str"/>
      <c r="B53" s="6" t="str"/>
      <c r="C53" s="6" t="str"/>
      <c r="D53" s="6" t="inlineStr">
        <is>
          <t>REPAIRE &amp; MAINTENANCE EXPENS</t>
        </is>
      </c>
      <c r="E53" s="39" t="n">
        <v>825</v>
      </c>
      <c r="F53" s="6" t="inlineStr">
        <is>
          <t>debit</t>
        </is>
      </c>
      <c r="G53" s="6" t="inlineStr">
        <is>
          <t>balance_sheet</t>
        </is>
      </c>
    </row>
    <row r="54">
      <c r="A54" s="6" t="str"/>
      <c r="B54" s="6" t="str"/>
      <c r="C54" s="6" t="str"/>
      <c r="D54" s="6" t="inlineStr">
        <is>
          <t>VEHICAL RUNING MAINTENANCE</t>
        </is>
      </c>
      <c r="E54" s="39" t="n">
        <v>16017.23</v>
      </c>
      <c r="F54" s="6" t="inlineStr">
        <is>
          <t>debit</t>
        </is>
      </c>
      <c r="G54" s="6" t="inlineStr">
        <is>
          <t>balance_sheet</t>
        </is>
      </c>
    </row>
    <row r="55">
      <c r="A55" s="34" t="str"/>
      <c r="B55" s="38" t="inlineStr">
        <is>
          <t>Salaries Director</t>
        </is>
      </c>
      <c r="C55" s="34" t="str"/>
      <c r="D55" s="34" t="str"/>
      <c r="E55" s="35" t="n">
        <v>88000</v>
      </c>
      <c r="F55" s="34" t="inlineStr">
        <is>
          <t>1 txns</t>
        </is>
      </c>
      <c r="G55" s="34" t="inlineStr">
        <is>
          <t>balance_sheet</t>
        </is>
      </c>
    </row>
    <row r="56">
      <c r="A56" s="6" t="str"/>
      <c r="B56" s="6" t="str"/>
      <c r="C56" s="6" t="str"/>
      <c r="D56" s="6" t="inlineStr">
        <is>
          <t>SALARY EXPENSES (DIRECTOR)</t>
        </is>
      </c>
      <c r="E56" s="39" t="n">
        <v>88000</v>
      </c>
      <c r="F56" s="6" t="inlineStr">
        <is>
          <t>debit</t>
        </is>
      </c>
      <c r="G56" s="6" t="inlineStr">
        <is>
          <t>balance_sheet</t>
        </is>
      </c>
    </row>
    <row r="57">
      <c r="A57" s="34" t="str"/>
      <c r="B57" s="38" t="inlineStr">
        <is>
          <t>Staff Welfare &amp; Events</t>
        </is>
      </c>
      <c r="C57" s="34" t="str"/>
      <c r="D57" s="34" t="str"/>
      <c r="E57" s="35" t="n">
        <v>2230</v>
      </c>
      <c r="F57" s="34" t="inlineStr">
        <is>
          <t>1 txns</t>
        </is>
      </c>
      <c r="G57" s="34" t="inlineStr">
        <is>
          <t>balance_sheet</t>
        </is>
      </c>
    </row>
    <row r="58">
      <c r="A58" s="6" t="str"/>
      <c r="B58" s="6" t="str"/>
      <c r="C58" s="6" t="str"/>
      <c r="D58" s="6" t="inlineStr">
        <is>
          <t>STAFF WELFARE EXPENSES</t>
        </is>
      </c>
      <c r="E58" s="39" t="n">
        <v>2230</v>
      </c>
      <c r="F58" s="6" t="inlineStr">
        <is>
          <t>debit</t>
        </is>
      </c>
      <c r="G58" s="6" t="inlineStr">
        <is>
          <t>balance_sheet</t>
        </is>
      </c>
    </row>
    <row r="60">
      <c r="A60" s="24" t="inlineStr">
        <is>
          <t>J. Non-Operating</t>
        </is>
      </c>
      <c r="B60" s="24" t="str"/>
      <c r="C60" s="24" t="str"/>
      <c r="D60" s="24" t="str"/>
      <c r="E60" s="37" t="n">
        <v>23719</v>
      </c>
      <c r="F60" s="24" t="inlineStr">
        <is>
          <t>1 txns</t>
        </is>
      </c>
      <c r="G60" s="24" t="str"/>
    </row>
    <row r="61">
      <c r="A61" s="34" t="str"/>
      <c r="B61" s="38" t="inlineStr">
        <is>
          <t>Less: Interest Expense</t>
        </is>
      </c>
      <c r="C61" s="34" t="str"/>
      <c r="D61" s="34" t="str"/>
      <c r="E61" s="35" t="n">
        <v>23719</v>
      </c>
      <c r="F61" s="34" t="inlineStr">
        <is>
          <t>1 txns</t>
        </is>
      </c>
      <c r="G61" s="34" t="inlineStr">
        <is>
          <t>balance_sheet</t>
        </is>
      </c>
    </row>
    <row r="62">
      <c r="A62" s="6" t="str"/>
      <c r="B62" s="6" t="str"/>
      <c r="C62" s="6" t="str"/>
      <c r="D62" s="6" t="inlineStr">
        <is>
          <t>INTEREST ON CAR LOAN EXPENS</t>
        </is>
      </c>
      <c r="E62" s="39" t="n">
        <v>23719</v>
      </c>
      <c r="F62" s="6" t="inlineStr">
        <is>
          <t>debit</t>
        </is>
      </c>
      <c r="G62" s="6" t="inlineStr">
        <is>
          <t>balance_sheet</t>
        </is>
      </c>
    </row>
  </sheetData>
  <mergeCells count="1">
    <mergeCell ref="A1:G1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cols>
    <col width="25.83203125" customWidth="1" style="2" min="1" max="1"/>
    <col width="30.83203125" customWidth="1" style="2" min="2" max="2"/>
    <col width="12.83203125" customWidth="1" style="2" min="3" max="3"/>
    <col width="45.83203125" customWidth="1" style="2" min="4" max="4"/>
    <col width="15.83203125" customWidth="1" style="2" min="5" max="5"/>
    <col width="10.83203125" customWidth="1" style="2" min="6" max="6"/>
    <col width="15.83203125" customWidth="1" style="2" min="7" max="7"/>
  </cols>
  <sheetData>
    <row r="1">
      <c r="A1" s="40" t="inlineStr">
        <is>
          <t>Dec 2023 - TRANSACTION DETAILS</t>
        </is>
      </c>
    </row>
    <row r="3">
      <c r="A3" s="5" t="inlineStr">
        <is>
          <t>Head</t>
        </is>
      </c>
      <c r="B3" s="5" t="inlineStr">
        <is>
          <t>Subhead</t>
        </is>
      </c>
      <c r="C3" s="5" t="inlineStr">
        <is>
          <t>Date</t>
        </is>
      </c>
      <c r="D3" s="5" t="inlineStr">
        <is>
          <t>Account</t>
        </is>
      </c>
      <c r="E3" s="5" t="inlineStr">
        <is>
          <t>Amount (₹)</t>
        </is>
      </c>
      <c r="F3" s="5" t="inlineStr">
        <is>
          <t>Type</t>
        </is>
      </c>
      <c r="G3" s="5" t="inlineStr">
        <is>
          <t>Source</t>
        </is>
      </c>
    </row>
    <row r="4">
      <c r="A4" s="24" t="inlineStr">
        <is>
          <t>E. COGM</t>
        </is>
      </c>
      <c r="B4" s="24" t="str"/>
      <c r="C4" s="24" t="str"/>
      <c r="D4" s="24" t="str"/>
      <c r="E4" s="37" t="n">
        <v>542730</v>
      </c>
      <c r="F4" s="24" t="inlineStr">
        <is>
          <t>7 txns</t>
        </is>
      </c>
      <c r="G4" s="24" t="str"/>
    </row>
    <row r="5">
      <c r="A5" s="34" t="str"/>
      <c r="B5" s="38" t="inlineStr">
        <is>
          <t>Raw Materials &amp; Inventory</t>
        </is>
      </c>
      <c r="C5" s="34" t="str"/>
      <c r="D5" s="34" t="str"/>
      <c r="E5" s="35" t="n">
        <v>2642017.56</v>
      </c>
      <c r="F5" s="34" t="inlineStr">
        <is>
          <t>1 txns</t>
        </is>
      </c>
      <c r="G5" s="34" t="inlineStr">
        <is>
          <t>calculated</t>
        </is>
      </c>
    </row>
    <row r="6">
      <c r="A6" s="6" t="str"/>
      <c r="B6" s="6" t="str"/>
      <c r="C6" s="6" t="str"/>
      <c r="D6" s="6" t="inlineStr">
        <is>
          <t>Raw Materials (Prorated by Revenue)</t>
        </is>
      </c>
      <c r="E6" s="39" t="n">
        <v>2642017.56</v>
      </c>
      <c r="F6" s="6" t="inlineStr">
        <is>
          <t>debit</t>
        </is>
      </c>
      <c r="G6" s="6" t="inlineStr">
        <is>
          <t>calculated</t>
        </is>
      </c>
    </row>
    <row r="7">
      <c r="A7" s="34" t="str"/>
      <c r="B7" s="38" t="inlineStr">
        <is>
          <t>Consumables</t>
        </is>
      </c>
      <c r="C7" s="34" t="str"/>
      <c r="D7" s="34" t="str"/>
      <c r="E7" s="35" t="n">
        <v>4180</v>
      </c>
      <c r="F7" s="34" t="inlineStr">
        <is>
          <t>1 txns</t>
        </is>
      </c>
      <c r="G7" s="34" t="inlineStr">
        <is>
          <t>balance_sheet</t>
        </is>
      </c>
    </row>
    <row r="8">
      <c r="A8" s="6" t="str"/>
      <c r="B8" s="6" t="str"/>
      <c r="C8" s="6" t="str"/>
      <c r="D8" s="6" t="inlineStr">
        <is>
          <t>CONSUMABLE EXPENSES @%</t>
        </is>
      </c>
      <c r="E8" s="39" t="n">
        <v>4180</v>
      </c>
      <c r="F8" s="6" t="inlineStr">
        <is>
          <t>debit</t>
        </is>
      </c>
      <c r="G8" s="6" t="inlineStr">
        <is>
          <t>balance_sheet</t>
        </is>
      </c>
    </row>
    <row r="9">
      <c r="A9" s="34" t="str"/>
      <c r="B9" s="38" t="inlineStr">
        <is>
          <t>Factory Maintenance</t>
        </is>
      </c>
      <c r="C9" s="34" t="str"/>
      <c r="D9" s="34" t="str"/>
      <c r="E9" s="35" t="n">
        <v>29885</v>
      </c>
      <c r="F9" s="34" t="inlineStr">
        <is>
          <t>2 txns</t>
        </is>
      </c>
      <c r="G9" s="34" t="inlineStr">
        <is>
          <t>balance_sheet</t>
        </is>
      </c>
    </row>
    <row r="10">
      <c r="A10" s="6" t="str"/>
      <c r="B10" s="6" t="str"/>
      <c r="C10" s="6" t="str"/>
      <c r="D10" s="6" t="inlineStr">
        <is>
          <t>Electricity &amp; Water Expenses</t>
        </is>
      </c>
      <c r="E10" s="39" t="n">
        <v>10885</v>
      </c>
      <c r="F10" s="6" t="inlineStr">
        <is>
          <t>debit</t>
        </is>
      </c>
      <c r="G10" s="6" t="inlineStr">
        <is>
          <t>balance_sheet</t>
        </is>
      </c>
    </row>
    <row r="11">
      <c r="A11" s="6" t="str"/>
      <c r="B11" s="6" t="str"/>
      <c r="C11" s="6" t="str"/>
      <c r="D11" s="6" t="inlineStr">
        <is>
          <t>POWER BACKUP &amp; MAITENANCE (D</t>
        </is>
      </c>
      <c r="E11" s="39" t="n">
        <v>19000</v>
      </c>
      <c r="F11" s="6" t="inlineStr">
        <is>
          <t>debit</t>
        </is>
      </c>
      <c r="G11" s="6" t="inlineStr">
        <is>
          <t>balance_sheet</t>
        </is>
      </c>
    </row>
    <row r="12">
      <c r="A12" s="34" t="str"/>
      <c r="B12" s="38" t="inlineStr">
        <is>
          <t>Inbound Transport</t>
        </is>
      </c>
      <c r="C12" s="34" t="str"/>
      <c r="D12" s="34" t="str"/>
      <c r="E12" s="35" t="n">
        <v>1200</v>
      </c>
      <c r="F12" s="34" t="inlineStr">
        <is>
          <t>1 txns</t>
        </is>
      </c>
      <c r="G12" s="34" t="inlineStr">
        <is>
          <t>balance_sheet</t>
        </is>
      </c>
    </row>
    <row r="13">
      <c r="A13" s="6" t="str"/>
      <c r="B13" s="6" t="str"/>
      <c r="C13" s="6" t="str"/>
      <c r="D13" s="6" t="inlineStr">
        <is>
          <t>FREIGHT CHARGES@%</t>
        </is>
      </c>
      <c r="E13" s="39" t="n">
        <v>1200</v>
      </c>
      <c r="F13" s="6" t="inlineStr">
        <is>
          <t>debit</t>
        </is>
      </c>
      <c r="G13" s="6" t="inlineStr">
        <is>
          <t>balance_sheet</t>
        </is>
      </c>
    </row>
    <row r="14">
      <c r="A14" s="34" t="str"/>
      <c r="B14" s="38" t="inlineStr">
        <is>
          <t>Job work</t>
        </is>
      </c>
      <c r="C14" s="34" t="str"/>
      <c r="D14" s="34" t="str"/>
      <c r="E14" s="35" t="n">
        <v>380681</v>
      </c>
      <c r="F14" s="34" t="inlineStr">
        <is>
          <t>2 txns</t>
        </is>
      </c>
      <c r="G14" s="34" t="inlineStr">
        <is>
          <t>balance_sheet</t>
        </is>
      </c>
    </row>
    <row r="15">
      <c r="A15" s="6" t="str"/>
      <c r="B15" s="6" t="str"/>
      <c r="C15" s="6" t="str"/>
      <c r="D15" s="6" t="inlineStr">
        <is>
          <t>JOB WORK</t>
        </is>
      </c>
      <c r="E15" s="39" t="n">
        <v>75919</v>
      </c>
      <c r="F15" s="6" t="inlineStr">
        <is>
          <t>debit</t>
        </is>
      </c>
      <c r="G15" s="6" t="inlineStr">
        <is>
          <t>balance_sheet</t>
        </is>
      </c>
    </row>
    <row r="16">
      <c r="A16" s="6" t="str"/>
      <c r="B16" s="6" t="str"/>
      <c r="C16" s="6" t="str"/>
      <c r="D16" s="6" t="inlineStr">
        <is>
          <t>JOB WORK @%</t>
        </is>
      </c>
      <c r="E16" s="39" t="n">
        <v>304762</v>
      </c>
      <c r="F16" s="6" t="inlineStr">
        <is>
          <t>debit</t>
        </is>
      </c>
      <c r="G16" s="6" t="inlineStr">
        <is>
          <t>balance_sheet</t>
        </is>
      </c>
    </row>
    <row r="17">
      <c r="A17" s="34" t="str"/>
      <c r="B17" s="38" t="inlineStr">
        <is>
          <t>Manufacturing Wages</t>
        </is>
      </c>
      <c r="C17" s="34" t="str"/>
      <c r="D17" s="34" t="str"/>
      <c r="E17" s="35" t="n">
        <v>126784</v>
      </c>
      <c r="F17" s="34" t="inlineStr">
        <is>
          <t>1 txns</t>
        </is>
      </c>
      <c r="G17" s="34" t="inlineStr">
        <is>
          <t>balance_sheet</t>
        </is>
      </c>
    </row>
    <row r="18">
      <c r="A18" s="6" t="str"/>
      <c r="B18" s="6" t="str"/>
      <c r="C18" s="6" t="str"/>
      <c r="D18" s="6" t="inlineStr">
        <is>
          <t>LABOUR &amp; WAGES EXPENSES</t>
        </is>
      </c>
      <c r="E18" s="39" t="n">
        <v>126784</v>
      </c>
      <c r="F18" s="6" t="inlineStr">
        <is>
          <t>debit</t>
        </is>
      </c>
      <c r="G18" s="6" t="inlineStr">
        <is>
          <t>balance_sheet</t>
        </is>
      </c>
    </row>
    <row r="20">
      <c r="A20" s="24" t="inlineStr">
        <is>
          <t>F. Channel &amp; Fulfillment</t>
        </is>
      </c>
      <c r="B20" s="24" t="str"/>
      <c r="C20" s="24" t="str"/>
      <c r="D20" s="24" t="str"/>
      <c r="E20" s="37" t="n">
        <v>12077</v>
      </c>
      <c r="F20" s="24" t="inlineStr">
        <is>
          <t>2 txns</t>
        </is>
      </c>
      <c r="G20" s="24" t="str"/>
    </row>
    <row r="21">
      <c r="A21" s="34" t="str"/>
      <c r="B21" s="38" t="inlineStr">
        <is>
          <t>D2C Fees</t>
        </is>
      </c>
      <c r="C21" s="34" t="str"/>
      <c r="D21" s="34" t="str"/>
      <c r="E21" s="35" t="n">
        <v>12077</v>
      </c>
      <c r="F21" s="34" t="inlineStr">
        <is>
          <t>2 txns</t>
        </is>
      </c>
      <c r="G21" s="34" t="inlineStr">
        <is>
          <t>balance_sheet</t>
        </is>
      </c>
    </row>
    <row r="22">
      <c r="A22" s="6" t="str"/>
      <c r="B22" s="6" t="str"/>
      <c r="C22" s="6" t="str"/>
      <c r="D22" s="6" t="inlineStr">
        <is>
          <t>COURIER &amp; POSTAGE EXPENSE</t>
        </is>
      </c>
      <c r="E22" s="39" t="n">
        <v>790</v>
      </c>
      <c r="F22" s="6" t="inlineStr">
        <is>
          <t>debit</t>
        </is>
      </c>
      <c r="G22" s="6" t="inlineStr">
        <is>
          <t>balance_sheet</t>
        </is>
      </c>
    </row>
    <row r="23">
      <c r="A23" s="6" t="str"/>
      <c r="B23" s="6" t="str"/>
      <c r="C23" s="6" t="str"/>
      <c r="D23" s="6" t="inlineStr">
        <is>
          <t>Freight &amp; Forwarding Charges</t>
        </is>
      </c>
      <c r="E23" s="39" t="n">
        <v>11287</v>
      </c>
      <c r="F23" s="6" t="inlineStr">
        <is>
          <t>debit</t>
        </is>
      </c>
      <c r="G23" s="6" t="inlineStr">
        <is>
          <t>balance_sheet</t>
        </is>
      </c>
    </row>
    <row r="25">
      <c r="A25" s="24" t="inlineStr">
        <is>
          <t>G. Sales &amp; Marketing</t>
        </is>
      </c>
      <c r="B25" s="24" t="str"/>
      <c r="C25" s="24" t="str"/>
      <c r="D25" s="24" t="str"/>
      <c r="E25" s="37" t="n">
        <v>93219.44</v>
      </c>
      <c r="F25" s="24" t="inlineStr">
        <is>
          <t>2 txns</t>
        </is>
      </c>
      <c r="G25" s="24" t="str"/>
    </row>
    <row r="26">
      <c r="A26" s="34" t="str"/>
      <c r="B26" s="38" t="inlineStr">
        <is>
          <t>Advertising &amp; Marketing</t>
        </is>
      </c>
      <c r="C26" s="34" t="str"/>
      <c r="D26" s="34" t="str"/>
      <c r="E26" s="35" t="n">
        <v>93219.44</v>
      </c>
      <c r="F26" s="34" t="inlineStr">
        <is>
          <t>2 txns</t>
        </is>
      </c>
      <c r="G26" s="34" t="inlineStr">
        <is>
          <t>balance_sheet</t>
        </is>
      </c>
    </row>
    <row r="27">
      <c r="A27" s="6" t="str"/>
      <c r="B27" s="6" t="str"/>
      <c r="C27" s="6" t="str"/>
      <c r="D27" s="6" t="inlineStr">
        <is>
          <t>BUSINESS PROMOTION EXPENSES</t>
        </is>
      </c>
      <c r="E27" s="39" t="n">
        <v>3842</v>
      </c>
      <c r="F27" s="6" t="inlineStr">
        <is>
          <t>debit</t>
        </is>
      </c>
      <c r="G27" s="6" t="inlineStr">
        <is>
          <t>balance_sheet</t>
        </is>
      </c>
    </row>
    <row r="28">
      <c r="A28" s="6" t="str"/>
      <c r="B28" s="6" t="str"/>
      <c r="C28" s="6" t="str"/>
      <c r="D28" s="6" t="inlineStr">
        <is>
          <t>BUSINESS PROMOTION EXPENSES@</t>
        </is>
      </c>
      <c r="E28" s="39" t="n">
        <v>89377.44</v>
      </c>
      <c r="F28" s="6" t="inlineStr">
        <is>
          <t>debit</t>
        </is>
      </c>
      <c r="G28" s="6" t="inlineStr">
        <is>
          <t>balance_sheet</t>
        </is>
      </c>
    </row>
    <row r="30">
      <c r="A30" s="24" t="inlineStr">
        <is>
          <t>I. Operating Expenses</t>
        </is>
      </c>
      <c r="B30" s="24" t="str"/>
      <c r="C30" s="24" t="str"/>
      <c r="D30" s="24" t="str"/>
      <c r="E30" s="37" t="n">
        <v>714179.71</v>
      </c>
      <c r="F30" s="24" t="inlineStr">
        <is>
          <t>27 txns</t>
        </is>
      </c>
      <c r="G30" s="24" t="str"/>
    </row>
    <row r="31">
      <c r="A31" s="34" t="str"/>
      <c r="B31" s="38" t="inlineStr">
        <is>
          <t>Legal &amp; CA expenses</t>
        </is>
      </c>
      <c r="C31" s="34" t="str"/>
      <c r="D31" s="34" t="str"/>
      <c r="E31" s="35" t="n">
        <v>64500</v>
      </c>
      <c r="F31" s="34" t="inlineStr">
        <is>
          <t>2 txns</t>
        </is>
      </c>
      <c r="G31" s="34" t="inlineStr">
        <is>
          <t>balance_sheet</t>
        </is>
      </c>
    </row>
    <row r="32">
      <c r="A32" s="6" t="str"/>
      <c r="B32" s="6" t="str"/>
      <c r="C32" s="6" t="str"/>
      <c r="D32" s="6" t="inlineStr">
        <is>
          <t>ACCOUNTING &amp; RETURN FILLING</t>
        </is>
      </c>
      <c r="E32" s="39" t="n">
        <v>7500</v>
      </c>
      <c r="F32" s="6" t="inlineStr">
        <is>
          <t>debit</t>
        </is>
      </c>
      <c r="G32" s="6" t="inlineStr">
        <is>
          <t>balance_sheet</t>
        </is>
      </c>
    </row>
    <row r="33">
      <c r="A33" s="6" t="str"/>
      <c r="B33" s="6" t="str"/>
      <c r="C33" s="6" t="str"/>
      <c r="D33" s="6" t="inlineStr">
        <is>
          <t>LEGAL &amp; PROFESSIONAL EXPENS</t>
        </is>
      </c>
      <c r="E33" s="39" t="n">
        <v>57000</v>
      </c>
      <c r="F33" s="6" t="inlineStr">
        <is>
          <t>debit</t>
        </is>
      </c>
      <c r="G33" s="6" t="inlineStr">
        <is>
          <t>balance_sheet</t>
        </is>
      </c>
    </row>
    <row r="34">
      <c r="A34" s="34" t="str"/>
      <c r="B34" s="38" t="inlineStr">
        <is>
          <t>Banks &amp; Finance Charges</t>
        </is>
      </c>
      <c r="C34" s="34" t="str"/>
      <c r="D34" s="34" t="str"/>
      <c r="E34" s="35" t="n">
        <v>-1</v>
      </c>
      <c r="F34" s="34" t="inlineStr">
        <is>
          <t>1 txns</t>
        </is>
      </c>
      <c r="G34" s="34" t="inlineStr">
        <is>
          <t>balance_sheet</t>
        </is>
      </c>
    </row>
    <row r="35">
      <c r="A35" s="6" t="str"/>
      <c r="B35" s="6" t="str"/>
      <c r="C35" s="6" t="str"/>
      <c r="D35" s="6" t="inlineStr">
        <is>
          <t>BANK CHARGE EXPENCE</t>
        </is>
      </c>
      <c r="E35" s="39" t="n">
        <v>-1</v>
      </c>
      <c r="F35" s="6" t="inlineStr">
        <is>
          <t>debit</t>
        </is>
      </c>
      <c r="G35" s="6" t="inlineStr">
        <is>
          <t>balance_sheet</t>
        </is>
      </c>
    </row>
    <row r="36">
      <c r="A36" s="34" t="str"/>
      <c r="B36" s="38" t="inlineStr">
        <is>
          <t>Other Operating Expenses</t>
        </is>
      </c>
      <c r="C36" s="34" t="str"/>
      <c r="D36" s="34" t="str"/>
      <c r="E36" s="35" t="n">
        <v>26614.21</v>
      </c>
      <c r="F36" s="34" t="inlineStr">
        <is>
          <t>7 txns</t>
        </is>
      </c>
      <c r="G36" s="34" t="inlineStr">
        <is>
          <t>balance_sheet</t>
        </is>
      </c>
    </row>
    <row r="37">
      <c r="A37" s="6" t="str"/>
      <c r="B37" s="6" t="str"/>
      <c r="C37" s="6" t="str"/>
      <c r="D37" s="6" t="inlineStr">
        <is>
          <t>CONSUMABLE EXPENSES (MISC PU</t>
        </is>
      </c>
      <c r="E37" s="39" t="n">
        <v>2270.5</v>
      </c>
      <c r="F37" s="6" t="inlineStr">
        <is>
          <t>debit</t>
        </is>
      </c>
      <c r="G37" s="6" t="inlineStr">
        <is>
          <t>balance_sheet</t>
        </is>
      </c>
    </row>
    <row r="38">
      <c r="A38" s="6" t="str"/>
      <c r="B38" s="6" t="str"/>
      <c r="C38" s="6" t="str"/>
      <c r="D38" s="6" t="inlineStr">
        <is>
          <t>CONSUMABLES EXPENSES</t>
        </is>
      </c>
      <c r="E38" s="39" t="n">
        <v>2310</v>
      </c>
      <c r="F38" s="6" t="inlineStr">
        <is>
          <t>debit</t>
        </is>
      </c>
      <c r="G38" s="6" t="inlineStr">
        <is>
          <t>balance_sheet</t>
        </is>
      </c>
    </row>
    <row r="39">
      <c r="A39" s="6" t="str"/>
      <c r="B39" s="6" t="str"/>
      <c r="C39" s="6" t="str"/>
      <c r="D39" s="6" t="inlineStr">
        <is>
          <t>Interenet Expenses</t>
        </is>
      </c>
      <c r="E39" s="39" t="n">
        <v>851</v>
      </c>
      <c r="F39" s="6" t="inlineStr">
        <is>
          <t>debit</t>
        </is>
      </c>
      <c r="G39" s="6" t="inlineStr">
        <is>
          <t>balance_sheet</t>
        </is>
      </c>
    </row>
    <row r="40">
      <c r="A40" s="6" t="str"/>
      <c r="B40" s="6" t="str"/>
      <c r="C40" s="6" t="str"/>
      <c r="D40" s="6" t="inlineStr">
        <is>
          <t>INTERTENMENT &amp; PICKNICK EXPE</t>
        </is>
      </c>
      <c r="E40" s="39" t="n">
        <v>1229</v>
      </c>
      <c r="F40" s="6" t="inlineStr">
        <is>
          <t>debit</t>
        </is>
      </c>
      <c r="G40" s="6" t="inlineStr">
        <is>
          <t>balance_sheet</t>
        </is>
      </c>
    </row>
    <row r="41">
      <c r="A41" s="6" t="str"/>
      <c r="B41" s="6" t="str"/>
      <c r="C41" s="6" t="str"/>
      <c r="D41" s="6" t="inlineStr">
        <is>
          <t>Rounded Off</t>
        </is>
      </c>
      <c r="E41" s="39" t="n">
        <v>0.71</v>
      </c>
      <c r="F41" s="6" t="inlineStr">
        <is>
          <t>debit</t>
        </is>
      </c>
      <c r="G41" s="6" t="inlineStr">
        <is>
          <t>balance_sheet</t>
        </is>
      </c>
    </row>
    <row r="42">
      <c r="A42" s="6" t="str"/>
      <c r="B42" s="6" t="str"/>
      <c r="C42" s="6" t="str"/>
      <c r="D42" s="6" t="inlineStr">
        <is>
          <t>SAMPLE &amp; MODIFICATION EXPENS</t>
        </is>
      </c>
      <c r="E42" s="39" t="n">
        <v>1820</v>
      </c>
      <c r="F42" s="6" t="inlineStr">
        <is>
          <t>debit</t>
        </is>
      </c>
      <c r="G42" s="6" t="inlineStr">
        <is>
          <t>balance_sheet</t>
        </is>
      </c>
    </row>
    <row r="43">
      <c r="A43" s="6" t="str"/>
      <c r="B43" s="6" t="str"/>
      <c r="C43" s="6" t="str"/>
      <c r="D43" s="6" t="inlineStr">
        <is>
          <t>TRANSPOTATION EXPENSES</t>
        </is>
      </c>
      <c r="E43" s="39" t="n">
        <v>18133</v>
      </c>
      <c r="F43" s="6" t="inlineStr">
        <is>
          <t>debit</t>
        </is>
      </c>
      <c r="G43" s="6" t="inlineStr">
        <is>
          <t>balance_sheet</t>
        </is>
      </c>
    </row>
    <row r="44">
      <c r="A44" s="34" t="str"/>
      <c r="B44" s="38" t="inlineStr">
        <is>
          <t>Miscellaneous (Travel, insurance)</t>
        </is>
      </c>
      <c r="C44" s="34" t="str"/>
      <c r="D44" s="34" t="str"/>
      <c r="E44" s="35" t="n">
        <v>18290</v>
      </c>
      <c r="F44" s="34" t="inlineStr">
        <is>
          <t>2 txns</t>
        </is>
      </c>
      <c r="G44" s="34" t="inlineStr">
        <is>
          <t>balance_sheet</t>
        </is>
      </c>
    </row>
    <row r="45">
      <c r="A45" s="6" t="str"/>
      <c r="B45" s="6" t="str"/>
      <c r="C45" s="6" t="str"/>
      <c r="D45" s="6" t="inlineStr">
        <is>
          <t>CONVEYANCE &amp; AUTO CHARGE</t>
        </is>
      </c>
      <c r="E45" s="39" t="n">
        <v>8650</v>
      </c>
      <c r="F45" s="6" t="inlineStr">
        <is>
          <t>debit</t>
        </is>
      </c>
      <c r="G45" s="6" t="inlineStr">
        <is>
          <t>balance_sheet</t>
        </is>
      </c>
    </row>
    <row r="46">
      <c r="A46" s="6" t="str"/>
      <c r="B46" s="6" t="str"/>
      <c r="C46" s="6" t="str"/>
      <c r="D46" s="6" t="inlineStr">
        <is>
          <t>Conveyance Expenses</t>
        </is>
      </c>
      <c r="E46" s="39" t="n">
        <v>9640</v>
      </c>
      <c r="F46" s="6" t="inlineStr">
        <is>
          <t>debit</t>
        </is>
      </c>
      <c r="G46" s="6" t="inlineStr">
        <is>
          <t>balance_sheet</t>
        </is>
      </c>
    </row>
    <row r="47">
      <c r="A47" s="34" t="str"/>
      <c r="B47" s="38" t="inlineStr">
        <is>
          <t>Staff Welfare &amp; Events</t>
        </is>
      </c>
      <c r="C47" s="34" t="str"/>
      <c r="D47" s="34" t="str"/>
      <c r="E47" s="35" t="n">
        <v>46593</v>
      </c>
      <c r="F47" s="34" t="inlineStr">
        <is>
          <t>3 txns</t>
        </is>
      </c>
      <c r="G47" s="34" t="inlineStr">
        <is>
          <t>balance_sheet</t>
        </is>
      </c>
    </row>
    <row r="48">
      <c r="A48" s="6" t="str"/>
      <c r="B48" s="6" t="str"/>
      <c r="C48" s="6" t="str"/>
      <c r="D48" s="6" t="inlineStr">
        <is>
          <t>DEEPAWALI BONUS &amp; GIFT EXPEN</t>
        </is>
      </c>
      <c r="E48" s="39" t="n">
        <v>22675</v>
      </c>
      <c r="F48" s="6" t="inlineStr">
        <is>
          <t>debit</t>
        </is>
      </c>
      <c r="G48" s="6" t="inlineStr">
        <is>
          <t>balance_sheet</t>
        </is>
      </c>
    </row>
    <row r="49">
      <c r="A49" s="6" t="str"/>
      <c r="B49" s="6" t="str"/>
      <c r="C49" s="6" t="str"/>
      <c r="D49" s="6" t="inlineStr">
        <is>
          <t>STAFF WELFARE EXPENSES</t>
        </is>
      </c>
      <c r="E49" s="39" t="n">
        <v>17208</v>
      </c>
      <c r="F49" s="6" t="inlineStr">
        <is>
          <t>debit</t>
        </is>
      </c>
      <c r="G49" s="6" t="inlineStr">
        <is>
          <t>balance_sheet</t>
        </is>
      </c>
    </row>
    <row r="50">
      <c r="A50" s="6" t="str"/>
      <c r="B50" s="6" t="str"/>
      <c r="C50" s="6" t="str"/>
      <c r="D50" s="6" t="inlineStr">
        <is>
          <t>Staff Welfare Expenses @%</t>
        </is>
      </c>
      <c r="E50" s="39" t="n">
        <v>6710</v>
      </c>
      <c r="F50" s="6" t="inlineStr">
        <is>
          <t>debit</t>
        </is>
      </c>
      <c r="G50" s="6" t="inlineStr">
        <is>
          <t>balance_sheet</t>
        </is>
      </c>
    </row>
    <row r="51">
      <c r="A51" s="34" t="str"/>
      <c r="B51" s="38" t="inlineStr">
        <is>
          <t>Salaries (Admin Mgmt)</t>
        </is>
      </c>
      <c r="C51" s="34" t="str"/>
      <c r="D51" s="34" t="str"/>
      <c r="E51" s="35" t="n">
        <v>299809</v>
      </c>
      <c r="F51" s="34" t="inlineStr">
        <is>
          <t>3 txns</t>
        </is>
      </c>
      <c r="G51" s="34" t="inlineStr">
        <is>
          <t>balance_sheet</t>
        </is>
      </c>
    </row>
    <row r="52">
      <c r="A52" s="6" t="str"/>
      <c r="B52" s="6" t="str"/>
      <c r="C52" s="6" t="str"/>
      <c r="D52" s="6" t="inlineStr">
        <is>
          <t>DRIVER ( SALARY EXPENSE)</t>
        </is>
      </c>
      <c r="E52" s="39" t="n">
        <v>20000</v>
      </c>
      <c r="F52" s="6" t="inlineStr">
        <is>
          <t>debit</t>
        </is>
      </c>
      <c r="G52" s="6" t="inlineStr">
        <is>
          <t>balance_sheet</t>
        </is>
      </c>
    </row>
    <row r="53">
      <c r="A53" s="6" t="str"/>
      <c r="B53" s="6" t="str"/>
      <c r="C53" s="6" t="str"/>
      <c r="D53" s="6" t="inlineStr">
        <is>
          <t>ESI EMPLOYER CONTRIBUTTION E</t>
        </is>
      </c>
      <c r="E53" s="39" t="n">
        <v>6358</v>
      </c>
      <c r="F53" s="6" t="inlineStr">
        <is>
          <t>debit</t>
        </is>
      </c>
      <c r="G53" s="6" t="inlineStr">
        <is>
          <t>balance_sheet</t>
        </is>
      </c>
    </row>
    <row r="54">
      <c r="A54" s="6" t="str"/>
      <c r="B54" s="6" t="str"/>
      <c r="C54" s="6" t="str"/>
      <c r="D54" s="6" t="inlineStr">
        <is>
          <t>Salary Expenses</t>
        </is>
      </c>
      <c r="E54" s="39" t="n">
        <v>273451</v>
      </c>
      <c r="F54" s="6" t="inlineStr">
        <is>
          <t>debit</t>
        </is>
      </c>
      <c r="G54" s="6" t="inlineStr">
        <is>
          <t>balance_sheet</t>
        </is>
      </c>
    </row>
    <row r="55">
      <c r="A55" s="34" t="str"/>
      <c r="B55" s="38" t="inlineStr">
        <is>
          <t>Administrative Expenses</t>
        </is>
      </c>
      <c r="C55" s="34" t="str"/>
      <c r="D55" s="34" t="str"/>
      <c r="E55" s="35" t="n">
        <v>170374.5</v>
      </c>
      <c r="F55" s="34" t="inlineStr">
        <is>
          <t>8 txns</t>
        </is>
      </c>
      <c r="G55" s="34" t="inlineStr">
        <is>
          <t>balance_sheet</t>
        </is>
      </c>
    </row>
    <row r="56">
      <c r="A56" s="6" t="str"/>
      <c r="B56" s="6" t="str"/>
      <c r="C56" s="6" t="str"/>
      <c r="D56" s="6" t="inlineStr">
        <is>
          <t>OFFICE EXPENSES</t>
        </is>
      </c>
      <c r="E56" s="39" t="n">
        <v>800</v>
      </c>
      <c r="F56" s="6" t="inlineStr">
        <is>
          <t>debit</t>
        </is>
      </c>
      <c r="G56" s="6" t="inlineStr">
        <is>
          <t>balance_sheet</t>
        </is>
      </c>
    </row>
    <row r="57">
      <c r="A57" s="6" t="str"/>
      <c r="B57" s="6" t="str"/>
      <c r="C57" s="6" t="str"/>
      <c r="D57" s="6" t="inlineStr">
        <is>
          <t>Office Rent</t>
        </is>
      </c>
      <c r="E57" s="39" t="n">
        <v>134375</v>
      </c>
      <c r="F57" s="6" t="inlineStr">
        <is>
          <t>debit</t>
        </is>
      </c>
      <c r="G57" s="6" t="inlineStr">
        <is>
          <t>balance_sheet</t>
        </is>
      </c>
    </row>
    <row r="58">
      <c r="A58" s="6" t="str"/>
      <c r="B58" s="6" t="str"/>
      <c r="C58" s="6" t="str"/>
      <c r="D58" s="6" t="inlineStr">
        <is>
          <t>Printing &amp; Stationery@%</t>
        </is>
      </c>
      <c r="E58" s="39" t="n">
        <v>480</v>
      </c>
      <c r="F58" s="6" t="inlineStr">
        <is>
          <t>debit</t>
        </is>
      </c>
      <c r="G58" s="6" t="inlineStr">
        <is>
          <t>balance_sheet</t>
        </is>
      </c>
    </row>
    <row r="59">
      <c r="A59" s="6" t="str"/>
      <c r="B59" s="6" t="str"/>
      <c r="C59" s="6" t="str"/>
      <c r="D59" s="6" t="inlineStr">
        <is>
          <t>Printing &amp; Stationery@%</t>
        </is>
      </c>
      <c r="E59" s="39" t="n">
        <v>1917.5</v>
      </c>
      <c r="F59" s="6" t="inlineStr">
        <is>
          <t>debit</t>
        </is>
      </c>
      <c r="G59" s="6" t="inlineStr">
        <is>
          <t>balance_sheet</t>
        </is>
      </c>
    </row>
    <row r="60">
      <c r="A60" s="6" t="str"/>
      <c r="B60" s="6" t="str"/>
      <c r="C60" s="6" t="str"/>
      <c r="D60" s="6" t="inlineStr">
        <is>
          <t>PRINTING STATIONERY EXPENSES</t>
        </is>
      </c>
      <c r="E60" s="39" t="n">
        <v>300</v>
      </c>
      <c r="F60" s="6" t="inlineStr">
        <is>
          <t>debit</t>
        </is>
      </c>
      <c r="G60" s="6" t="inlineStr">
        <is>
          <t>balance_sheet</t>
        </is>
      </c>
    </row>
    <row r="61">
      <c r="A61" s="6" t="str"/>
      <c r="B61" s="6" t="str"/>
      <c r="C61" s="6" t="str"/>
      <c r="D61" s="6" t="inlineStr">
        <is>
          <t>REPAIRE &amp; MAINTENANCE EXPENS</t>
        </is>
      </c>
      <c r="E61" s="39" t="n">
        <v>1562</v>
      </c>
      <c r="F61" s="6" t="inlineStr">
        <is>
          <t>debit</t>
        </is>
      </c>
      <c r="G61" s="6" t="inlineStr">
        <is>
          <t>balance_sheet</t>
        </is>
      </c>
    </row>
    <row r="62">
      <c r="A62" s="6" t="str"/>
      <c r="B62" s="6" t="str"/>
      <c r="C62" s="6" t="str"/>
      <c r="D62" s="6" t="inlineStr">
        <is>
          <t>REPAIRE &amp; MAINTENANCE EXPENS</t>
        </is>
      </c>
      <c r="E62" s="39" t="n">
        <v>18329</v>
      </c>
      <c r="F62" s="6" t="inlineStr">
        <is>
          <t>debit</t>
        </is>
      </c>
      <c r="G62" s="6" t="inlineStr">
        <is>
          <t>balance_sheet</t>
        </is>
      </c>
    </row>
    <row r="63">
      <c r="A63" s="6" t="str"/>
      <c r="B63" s="6" t="str"/>
      <c r="C63" s="6" t="str"/>
      <c r="D63" s="6" t="inlineStr">
        <is>
          <t>VEHICAL RUNING MAINTENANCE</t>
        </is>
      </c>
      <c r="E63" s="39" t="n">
        <v>12611</v>
      </c>
      <c r="F63" s="6" t="inlineStr">
        <is>
          <t>debit</t>
        </is>
      </c>
      <c r="G63" s="6" t="inlineStr">
        <is>
          <t>balance_sheet</t>
        </is>
      </c>
    </row>
    <row r="64">
      <c r="A64" s="34" t="str"/>
      <c r="B64" s="38" t="inlineStr">
        <is>
          <t>Salaries Director</t>
        </is>
      </c>
      <c r="C64" s="34" t="str"/>
      <c r="D64" s="34" t="str"/>
      <c r="E64" s="35" t="n">
        <v>88000</v>
      </c>
      <c r="F64" s="34" t="inlineStr">
        <is>
          <t>1 txns</t>
        </is>
      </c>
      <c r="G64" s="34" t="inlineStr">
        <is>
          <t>balance_sheet</t>
        </is>
      </c>
    </row>
    <row r="65">
      <c r="A65" s="6" t="str"/>
      <c r="B65" s="6" t="str"/>
      <c r="C65" s="6" t="str"/>
      <c r="D65" s="6" t="inlineStr">
        <is>
          <t>SALARY EXPENSES (DIRECTOR)</t>
        </is>
      </c>
      <c r="E65" s="39" t="n">
        <v>88000</v>
      </c>
      <c r="F65" s="6" t="inlineStr">
        <is>
          <t>debit</t>
        </is>
      </c>
      <c r="G65" s="6" t="inlineStr">
        <is>
          <t>balance_sheet</t>
        </is>
      </c>
    </row>
    <row r="67">
      <c r="A67" s="24" t="inlineStr">
        <is>
          <t>J. Non-Operating</t>
        </is>
      </c>
      <c r="B67" s="24" t="str"/>
      <c r="C67" s="24" t="str"/>
      <c r="D67" s="24" t="str"/>
      <c r="E67" s="37" t="n">
        <v>23944</v>
      </c>
      <c r="F67" s="24" t="inlineStr">
        <is>
          <t>1 txns</t>
        </is>
      </c>
      <c r="G67" s="24" t="str"/>
    </row>
    <row r="68">
      <c r="A68" s="34" t="str"/>
      <c r="B68" s="38" t="inlineStr">
        <is>
          <t>Less: Interest Expense</t>
        </is>
      </c>
      <c r="C68" s="34" t="str"/>
      <c r="D68" s="34" t="str"/>
      <c r="E68" s="35" t="n">
        <v>23944</v>
      </c>
      <c r="F68" s="34" t="inlineStr">
        <is>
          <t>1 txns</t>
        </is>
      </c>
      <c r="G68" s="34" t="inlineStr">
        <is>
          <t>balance_sheet</t>
        </is>
      </c>
    </row>
    <row r="69">
      <c r="A69" s="6" t="str"/>
      <c r="B69" s="6" t="str"/>
      <c r="C69" s="6" t="str"/>
      <c r="D69" s="6" t="inlineStr">
        <is>
          <t>INTEREST ON CAR LOAN EXPENS</t>
        </is>
      </c>
      <c r="E69" s="39" t="n">
        <v>23944</v>
      </c>
      <c r="F69" s="6" t="inlineStr">
        <is>
          <t>debit</t>
        </is>
      </c>
      <c r="G69" s="6" t="inlineStr">
        <is>
          <t>balance_sheet</t>
        </is>
      </c>
    </row>
  </sheetData>
  <mergeCells count="1">
    <mergeCell ref="A1:G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10" customWidth="1" style="2" min="1" max="1"/>
  </cols>
  <sheetData>
    <row r="1">
      <c r="A1" s="44" t="inlineStr">
        <is>
          <t>HEATRONICS MIS — Jan/Feb/Mar 2026 update</t>
        </is>
      </c>
    </row>
    <row r="2">
      <c r="A2" s="52" t="inlineStr">
        <is>
          <t>Prepared: 12 Jun 2026</t>
        </is>
      </c>
    </row>
    <row r="4">
      <c r="A4" s="46" t="inlineStr">
        <is>
          <t>DATA SOURCES (per state: UP, Haryana, Karnataka, Maharashtra, Telangana)</t>
        </is>
      </c>
    </row>
    <row r="5">
      <c r="A5" t="inlineStr">
        <is>
          <t>• Revenue (Net Sales): Trading Account 'Sales' figure from each state Balance Sheet (BS.pdf), consolidated.</t>
        </is>
      </c>
    </row>
    <row r="6">
      <c r="A6" t="inlineStr">
        <is>
          <t>• COGM (Raw Material Consumption): actual = Opening Stock + Purchases − Closing Stock, from the Trading Account.</t>
        </is>
      </c>
    </row>
    <row r="7">
      <c r="A7" t="inlineStr">
        <is>
          <t>• Direct mfg costs (freight inward @18%, job work, factory electricity/power): Trading Account.</t>
        </is>
      </c>
    </row>
    <row r="8">
      <c r="A8" t="inlineStr">
        <is>
          <t>• All other costs (channel/Amazon fees, marketing, platform, OpEx, salaries, interest): P&amp;L Account ledger heads in BS.pdf.</t>
        </is>
      </c>
    </row>
    <row r="9">
      <c r="A9" t="inlineStr">
        <is>
          <t>• Channel revenue split (Website/Amazon/Blinkit/Offline) is indicative, apportioned from the Sales Registers.</t>
        </is>
      </c>
    </row>
    <row r="10">
      <c r="A10" t="inlineStr">
        <is>
          <t>• No Journal Register (JR) was used — it is not a source for the monthly P&amp;L (confirmed against prior months' build).</t>
        </is>
      </c>
    </row>
    <row r="12">
      <c r="A12" s="46" t="inlineStr">
        <is>
          <t>METHODOLOGY NOTES</t>
        </is>
      </c>
    </row>
    <row r="13">
      <c r="A13" t="inlineStr">
        <is>
          <t>• COGM for Jan–Mar uses ACTUAL consumption (per your instruction), unlike Apr–Dec which used a 37.04% raw-material proxy.</t>
        </is>
      </c>
    </row>
    <row r="14">
      <c r="A14" t="inlineStr">
        <is>
          <t>• Depreciation is EXCLUDED from the MIS EBITDA/Net Income basis (consistent with Apr–Dec). Shown as a memo line only.</t>
        </is>
      </c>
    </row>
    <row r="15">
      <c r="A15" t="inlineStr">
        <is>
          <t>• Net Income here is pre-depreciation (MIS basis), not statutory PBT.</t>
        </is>
      </c>
    </row>
    <row r="17">
      <c r="A17" s="46" t="inlineStr">
        <is>
          <t>KNOWN CAVEATS</t>
        </is>
      </c>
    </row>
    <row r="18">
      <c r="A18" t="inlineStr">
        <is>
          <t>• Monthly gross margins are volatile (Jan ≈ 0%, Feb ≈ 74%, Mar ≈ 0%) because monthly Tally stock figures do not chain</t>
        </is>
      </c>
    </row>
    <row r="19">
      <c r="A19" t="inlineStr">
        <is>
          <t xml:space="preserve">  cleanly (e.g. UP Jan closing ₹34.0L vs Mar opening ₹84.7L). The 3-month AGGREGATE is the economically meaningful view.</t>
        </is>
      </c>
    </row>
    <row r="20">
      <c r="A20" t="inlineStr">
        <is>
          <t>• 3-month Net Revenue ₹156.1L reconciles to your 'Final 3' bridge (FY 584.86L − Apr–Dec 426.6L = 158.3L), &lt;1.5% gap.</t>
        </is>
      </c>
    </row>
    <row r="21">
      <c r="A21" t="inlineStr">
        <is>
          <t>• 3-month EBITDA ≈ −₹33.5L from raw books; ~₹15L higher loss than the Final 3 view, due to inter-company eliminations</t>
        </is>
      </c>
    </row>
    <row r="22">
      <c r="A22" t="inlineStr">
        <is>
          <t xml:space="preserve">  and cost reclassifications applied in the Final 3 model but not in the raw entity books. March EBITDA (−₹40.8L) matches</t>
        </is>
      </c>
    </row>
    <row r="23">
      <c r="A23" t="inlineStr">
        <is>
          <t xml:space="preserve">  the prior independent consolidation (−₹40.7L), confirming the extraction.</t>
        </is>
      </c>
    </row>
    <row r="25">
      <c r="A25" s="46" t="inlineStr">
        <is>
          <t>SUMMARY (₹ Lakhs)</t>
        </is>
      </c>
    </row>
    <row r="26">
      <c r="A26" s="53" t="inlineStr">
        <is>
          <t>Line            Jan      Feb      Mar     3-mo</t>
        </is>
      </c>
    </row>
    <row r="27">
      <c r="A27" s="53" t="inlineStr">
        <is>
          <t>Net Revenue       64.5     47.7     43.9    156.1</t>
        </is>
      </c>
    </row>
    <row r="28">
      <c r="A28" s="53" t="inlineStr">
        <is>
          <t>COGM             -65.5    -12.4    -44.3   -122.2</t>
        </is>
      </c>
    </row>
    <row r="29">
      <c r="A29" s="53" t="inlineStr">
        <is>
          <t>Gross Margin      -1.0     35.3     -0.4     33.9</t>
        </is>
      </c>
    </row>
    <row r="30">
      <c r="A30" s="53" t="inlineStr">
        <is>
          <t>EBITDA            -8.0     15.3    -40.8    -33.5</t>
        </is>
      </c>
    </row>
    <row r="31">
      <c r="A31" s="53" t="inlineStr">
        <is>
          <t>Net Income        -8.4     14.5    -41.7    -35.5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2026-06-12T10:29:38Z</dcterms:created>
  <dcterms:modified xmlns:dcterms="http://purl.org/dc/terms/" xmlns:xsi="http://www.w3.org/2001/XMLSchema-instance" xsi:type="dcterms:W3CDTF">2026-06-19T12:17:29Z</dcterms:modified>
</cp:coreProperties>
</file>